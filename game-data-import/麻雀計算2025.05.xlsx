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elopment\production\jansuko\game-data-import\"/>
    </mc:Choice>
  </mc:AlternateContent>
  <xr:revisionPtr revIDLastSave="0" documentId="13_ncr:1_{34076975-108B-4905-8C10-3BB437FB9197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各勝率等" sheetId="1" r:id="rId1"/>
    <sheet name="20250520" sheetId="2" r:id="rId2"/>
    <sheet name="20250521" sheetId="3" r:id="rId3"/>
    <sheet name="20250524" sheetId="4" r:id="rId4"/>
    <sheet name="20250528" sheetId="5" r:id="rId5"/>
    <sheet name="20250531" sheetId="6" r:id="rId6"/>
    <sheet name="20250602" sheetId="7" r:id="rId7"/>
    <sheet name="20250604" sheetId="8" r:id="rId8"/>
    <sheet name="20250607" sheetId="9" r:id="rId9"/>
    <sheet name="20250615" sheetId="10" r:id="rId10"/>
    <sheet name="20250616" sheetId="11" r:id="rId11"/>
    <sheet name="20250619" sheetId="12" r:id="rId12"/>
    <sheet name="20250623" sheetId="13" r:id="rId13"/>
    <sheet name="20250625三麻" sheetId="14" r:id="rId14"/>
    <sheet name="20250625四麻" sheetId="15" r:id="rId15"/>
    <sheet name="20250628" sheetId="16" r:id="rId16"/>
    <sheet name="20250630" sheetId="17" r:id="rId17"/>
    <sheet name="20250630-2" sheetId="18" r:id="rId18"/>
    <sheet name="20250703" sheetId="19" r:id="rId19"/>
    <sheet name="20250707" sheetId="20" r:id="rId20"/>
    <sheet name="20250707四麻" sheetId="21" r:id="rId21"/>
    <sheet name="20250716" sheetId="22" r:id="rId22"/>
    <sheet name="25250719 三麻" sheetId="23" r:id="rId23"/>
    <sheet name="20250724" sheetId="24" r:id="rId24"/>
    <sheet name="20250731" sheetId="25" r:id="rId25"/>
    <sheet name="20250806" sheetId="26" r:id="rId26"/>
    <sheet name="20250902" sheetId="27" r:id="rId27"/>
    <sheet name="20250909" sheetId="28" r:id="rId28"/>
    <sheet name="20250909-2" sheetId="29" r:id="rId29"/>
    <sheet name="20250916" sheetId="30" r:id="rId30"/>
    <sheet name="20250924" sheetId="31" r:id="rId31"/>
    <sheet name="20251010" sheetId="32" r:id="rId32"/>
    <sheet name="20251010 2" sheetId="33" r:id="rId33"/>
    <sheet name="20251014 四麻" sheetId="34" r:id="rId34"/>
    <sheet name="20251014 三麻" sheetId="35" r:id="rId35"/>
    <sheet name="20251021 三麻" sheetId="36" r:id="rId36"/>
    <sheet name="20251021 四麻" sheetId="37" r:id="rId37"/>
    <sheet name="20251031" sheetId="38" r:id="rId38"/>
    <sheet name="20251124" sheetId="39" r:id="rId39"/>
    <sheet name="20251127" sheetId="40" r:id="rId40"/>
    <sheet name="20251213" sheetId="41" r:id="rId41"/>
    <sheet name="20251216" sheetId="42" r:id="rId42"/>
    <sheet name="テンプレートv1" sheetId="43" r:id="rId43"/>
    <sheet name="マスタ" sheetId="44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3" l="1"/>
  <c r="D13" i="43" s="1"/>
  <c r="D14" i="43" s="1"/>
  <c r="B20" i="43"/>
  <c r="B22" i="43" s="1"/>
  <c r="E15" i="43"/>
  <c r="E14" i="43"/>
  <c r="E13" i="43"/>
  <c r="E12" i="43"/>
  <c r="D12" i="43"/>
  <c r="C12" i="43"/>
  <c r="C13" i="43" s="1"/>
  <c r="C14" i="43" s="1"/>
  <c r="B12" i="43"/>
  <c r="F11" i="43"/>
  <c r="G11" i="43" s="1"/>
  <c r="F10" i="43"/>
  <c r="G10" i="43" s="1"/>
  <c r="F9" i="43"/>
  <c r="G9" i="43" s="1"/>
  <c r="F8" i="43"/>
  <c r="G7" i="43"/>
  <c r="F7" i="43"/>
  <c r="G6" i="43"/>
  <c r="F6" i="43"/>
  <c r="F5" i="43"/>
  <c r="G5" i="43" s="1"/>
  <c r="F4" i="43"/>
  <c r="G4" i="43" s="1"/>
  <c r="F3" i="43"/>
  <c r="G3" i="43" s="1"/>
  <c r="F2" i="43"/>
  <c r="G2" i="43" s="1"/>
  <c r="B22" i="42"/>
  <c r="B21" i="42"/>
  <c r="B23" i="42" s="1"/>
  <c r="E16" i="42"/>
  <c r="E15" i="42"/>
  <c r="D15" i="42"/>
  <c r="E14" i="42"/>
  <c r="D14" i="42"/>
  <c r="B14" i="42"/>
  <c r="B15" i="42" s="1"/>
  <c r="E13" i="42"/>
  <c r="D13" i="42"/>
  <c r="C13" i="42"/>
  <c r="B13" i="42"/>
  <c r="G12" i="42"/>
  <c r="F12" i="42"/>
  <c r="F11" i="42"/>
  <c r="G11" i="42" s="1"/>
  <c r="F10" i="42"/>
  <c r="G10" i="42" s="1"/>
  <c r="F9" i="42"/>
  <c r="G9" i="42" s="1"/>
  <c r="F8" i="42"/>
  <c r="G8" i="42" s="1"/>
  <c r="G7" i="42"/>
  <c r="F7" i="42"/>
  <c r="F6" i="42"/>
  <c r="G6" i="42" s="1"/>
  <c r="G5" i="42"/>
  <c r="F5" i="42"/>
  <c r="G4" i="42"/>
  <c r="F4" i="42"/>
  <c r="F3" i="42"/>
  <c r="G3" i="42" s="1"/>
  <c r="F2" i="42"/>
  <c r="G2" i="42" s="1"/>
  <c r="B21" i="41"/>
  <c r="B22" i="41" s="1"/>
  <c r="B20" i="41"/>
  <c r="E15" i="41"/>
  <c r="E14" i="41"/>
  <c r="E13" i="41"/>
  <c r="E12" i="41"/>
  <c r="D12" i="41"/>
  <c r="C12" i="41"/>
  <c r="C13" i="41" s="1"/>
  <c r="C14" i="41" s="1"/>
  <c r="B12" i="41"/>
  <c r="G11" i="41"/>
  <c r="F11" i="41"/>
  <c r="G10" i="41"/>
  <c r="F10" i="41"/>
  <c r="F9" i="41"/>
  <c r="G9" i="41" s="1"/>
  <c r="F8" i="41"/>
  <c r="G8" i="41" s="1"/>
  <c r="F7" i="41"/>
  <c r="G7" i="41" s="1"/>
  <c r="F6" i="41"/>
  <c r="G6" i="41" s="1"/>
  <c r="G5" i="41"/>
  <c r="F5" i="41"/>
  <c r="F4" i="41"/>
  <c r="G4" i="41" s="1"/>
  <c r="G3" i="41"/>
  <c r="F3" i="41"/>
  <c r="G2" i="41"/>
  <c r="F2" i="41"/>
  <c r="B21" i="40"/>
  <c r="E13" i="40" s="1"/>
  <c r="E14" i="40" s="1"/>
  <c r="B20" i="40"/>
  <c r="E12" i="40"/>
  <c r="D12" i="40"/>
  <c r="C12" i="40"/>
  <c r="B12" i="40"/>
  <c r="G11" i="40"/>
  <c r="F11" i="40"/>
  <c r="F10" i="40"/>
  <c r="G10" i="40" s="1"/>
  <c r="G9" i="40"/>
  <c r="F9" i="40"/>
  <c r="G8" i="40"/>
  <c r="F8" i="40"/>
  <c r="F7" i="40"/>
  <c r="G7" i="40" s="1"/>
  <c r="F6" i="40"/>
  <c r="G6" i="40" s="1"/>
  <c r="F5" i="40"/>
  <c r="G5" i="40" s="1"/>
  <c r="F4" i="40"/>
  <c r="G4" i="40" s="1"/>
  <c r="G3" i="40"/>
  <c r="F3" i="40"/>
  <c r="F2" i="40"/>
  <c r="G2" i="40" s="1"/>
  <c r="B21" i="39"/>
  <c r="B20" i="39"/>
  <c r="G7" i="39" s="1"/>
  <c r="E15" i="39"/>
  <c r="E14" i="39"/>
  <c r="E13" i="39"/>
  <c r="C13" i="39"/>
  <c r="C14" i="39" s="1"/>
  <c r="E12" i="39"/>
  <c r="D12" i="39"/>
  <c r="D13" i="39" s="1"/>
  <c r="D14" i="39" s="1"/>
  <c r="C12" i="39"/>
  <c r="B12" i="39"/>
  <c r="F11" i="39"/>
  <c r="F10" i="39"/>
  <c r="G9" i="39"/>
  <c r="F9" i="39"/>
  <c r="F8" i="39"/>
  <c r="G8" i="39" s="1"/>
  <c r="F7" i="39"/>
  <c r="F6" i="39"/>
  <c r="F5" i="39"/>
  <c r="G5" i="39" s="1"/>
  <c r="F4" i="39"/>
  <c r="F3" i="39"/>
  <c r="F2" i="39"/>
  <c r="B21" i="38"/>
  <c r="B20" i="38"/>
  <c r="G11" i="38" s="1"/>
  <c r="E15" i="38"/>
  <c r="E14" i="38"/>
  <c r="B14" i="38"/>
  <c r="E13" i="38"/>
  <c r="D13" i="38"/>
  <c r="D14" i="38" s="1"/>
  <c r="B13" i="38"/>
  <c r="E12" i="38"/>
  <c r="D12" i="38"/>
  <c r="C12" i="38"/>
  <c r="C13" i="38" s="1"/>
  <c r="B12" i="38"/>
  <c r="F11" i="38"/>
  <c r="F10" i="38"/>
  <c r="F9" i="38"/>
  <c r="F8" i="38"/>
  <c r="F7" i="38"/>
  <c r="F6" i="38"/>
  <c r="F5" i="38"/>
  <c r="F4" i="38"/>
  <c r="F3" i="38"/>
  <c r="G3" i="38" s="1"/>
  <c r="F2" i="38"/>
  <c r="B21" i="37"/>
  <c r="B22" i="37" s="1"/>
  <c r="B20" i="37"/>
  <c r="D13" i="37"/>
  <c r="D14" i="37" s="1"/>
  <c r="E12" i="37"/>
  <c r="E13" i="37" s="1"/>
  <c r="E14" i="37" s="1"/>
  <c r="D12" i="37"/>
  <c r="C12" i="37"/>
  <c r="C13" i="37" s="1"/>
  <c r="C14" i="37" s="1"/>
  <c r="B12" i="37"/>
  <c r="F12" i="37" s="1"/>
  <c r="G12" i="37" s="1"/>
  <c r="G11" i="37"/>
  <c r="F11" i="37"/>
  <c r="G10" i="37"/>
  <c r="F10" i="37"/>
  <c r="F9" i="37"/>
  <c r="G9" i="37" s="1"/>
  <c r="F8" i="37"/>
  <c r="G8" i="37" s="1"/>
  <c r="F7" i="37"/>
  <c r="G7" i="37" s="1"/>
  <c r="F6" i="37"/>
  <c r="G6" i="37" s="1"/>
  <c r="G5" i="37"/>
  <c r="F5" i="37"/>
  <c r="F4" i="37"/>
  <c r="G4" i="37" s="1"/>
  <c r="G3" i="37"/>
  <c r="F3" i="37"/>
  <c r="G2" i="37"/>
  <c r="F2" i="37"/>
  <c r="B21" i="36"/>
  <c r="B22" i="36" s="1"/>
  <c r="B20" i="36"/>
  <c r="E15" i="36"/>
  <c r="E14" i="36"/>
  <c r="D14" i="36"/>
  <c r="E13" i="36"/>
  <c r="C13" i="36"/>
  <c r="C14" i="36" s="1"/>
  <c r="B13" i="36"/>
  <c r="F13" i="36" s="1"/>
  <c r="F12" i="36"/>
  <c r="G12" i="36" s="1"/>
  <c r="E12" i="36"/>
  <c r="D12" i="36"/>
  <c r="D13" i="36" s="1"/>
  <c r="C12" i="36"/>
  <c r="B12" i="36"/>
  <c r="G11" i="36"/>
  <c r="F11" i="36"/>
  <c r="G10" i="36"/>
  <c r="F10" i="36"/>
  <c r="G9" i="36"/>
  <c r="F9" i="36"/>
  <c r="G8" i="36"/>
  <c r="F8" i="36"/>
  <c r="G7" i="36"/>
  <c r="F7" i="36"/>
  <c r="F6" i="36"/>
  <c r="G6" i="36" s="1"/>
  <c r="F5" i="36"/>
  <c r="G5" i="36" s="1"/>
  <c r="F4" i="36"/>
  <c r="G4" i="36" s="1"/>
  <c r="G3" i="36"/>
  <c r="F3" i="36"/>
  <c r="G2" i="36"/>
  <c r="F2" i="36"/>
  <c r="B22" i="35"/>
  <c r="B21" i="35"/>
  <c r="B20" i="35"/>
  <c r="E15" i="35"/>
  <c r="E14" i="35"/>
  <c r="E13" i="35"/>
  <c r="D13" i="35"/>
  <c r="D14" i="35" s="1"/>
  <c r="C13" i="35"/>
  <c r="C14" i="35" s="1"/>
  <c r="E12" i="35"/>
  <c r="D12" i="35"/>
  <c r="C12" i="35"/>
  <c r="B12" i="35"/>
  <c r="F11" i="35"/>
  <c r="G11" i="35" s="1"/>
  <c r="F10" i="35"/>
  <c r="G10" i="35" s="1"/>
  <c r="G9" i="35"/>
  <c r="F9" i="35"/>
  <c r="F8" i="35"/>
  <c r="G8" i="35" s="1"/>
  <c r="G7" i="35"/>
  <c r="F7" i="35"/>
  <c r="G6" i="35"/>
  <c r="F6" i="35"/>
  <c r="G5" i="35"/>
  <c r="F5" i="35"/>
  <c r="F4" i="35"/>
  <c r="F3" i="35"/>
  <c r="F2" i="35"/>
  <c r="B21" i="34"/>
  <c r="B20" i="34"/>
  <c r="G5" i="34" s="1"/>
  <c r="E14" i="34"/>
  <c r="B14" i="34"/>
  <c r="D13" i="34"/>
  <c r="D14" i="34" s="1"/>
  <c r="B13" i="34"/>
  <c r="E12" i="34"/>
  <c r="E13" i="34" s="1"/>
  <c r="D12" i="34"/>
  <c r="C12" i="34"/>
  <c r="C13" i="34" s="1"/>
  <c r="B12" i="34"/>
  <c r="G11" i="34"/>
  <c r="F11" i="34"/>
  <c r="F10" i="34"/>
  <c r="G10" i="34" s="1"/>
  <c r="F9" i="34"/>
  <c r="G9" i="34" s="1"/>
  <c r="F8" i="34"/>
  <c r="G8" i="34" s="1"/>
  <c r="G7" i="34"/>
  <c r="F7" i="34"/>
  <c r="G6" i="34"/>
  <c r="F6" i="34"/>
  <c r="F5" i="34"/>
  <c r="F4" i="34"/>
  <c r="G3" i="34"/>
  <c r="F3" i="34"/>
  <c r="F2" i="34"/>
  <c r="B21" i="33"/>
  <c r="B22" i="33" s="1"/>
  <c r="B20" i="33"/>
  <c r="E15" i="33"/>
  <c r="E14" i="33"/>
  <c r="E13" i="33"/>
  <c r="E12" i="33"/>
  <c r="D12" i="33"/>
  <c r="C12" i="33"/>
  <c r="B12" i="33"/>
  <c r="F12" i="33" s="1"/>
  <c r="G11" i="33"/>
  <c r="F11" i="33"/>
  <c r="G10" i="33"/>
  <c r="F10" i="33"/>
  <c r="F9" i="33"/>
  <c r="G9" i="33" s="1"/>
  <c r="F8" i="33"/>
  <c r="G8" i="33" s="1"/>
  <c r="F7" i="33"/>
  <c r="G7" i="33" s="1"/>
  <c r="F6" i="33"/>
  <c r="G6" i="33" s="1"/>
  <c r="G5" i="33"/>
  <c r="F5" i="33"/>
  <c r="F4" i="33"/>
  <c r="G4" i="33" s="1"/>
  <c r="G3" i="33"/>
  <c r="F3" i="33"/>
  <c r="G2" i="33"/>
  <c r="F2" i="33"/>
  <c r="B22" i="32"/>
  <c r="B21" i="32"/>
  <c r="C13" i="32" s="1"/>
  <c r="C14" i="32" s="1"/>
  <c r="B20" i="32"/>
  <c r="E15" i="32"/>
  <c r="E14" i="32"/>
  <c r="E13" i="32"/>
  <c r="F12" i="32"/>
  <c r="G12" i="32" s="1"/>
  <c r="E12" i="32"/>
  <c r="D12" i="32"/>
  <c r="D13" i="32" s="1"/>
  <c r="D14" i="32" s="1"/>
  <c r="C12" i="32"/>
  <c r="B12" i="32"/>
  <c r="G11" i="32"/>
  <c r="F11" i="32"/>
  <c r="G10" i="32"/>
  <c r="F10" i="32"/>
  <c r="G9" i="32"/>
  <c r="F9" i="32"/>
  <c r="G8" i="32"/>
  <c r="F8" i="32"/>
  <c r="G7" i="32"/>
  <c r="F7" i="32"/>
  <c r="F6" i="32"/>
  <c r="G6" i="32" s="1"/>
  <c r="F5" i="32"/>
  <c r="G5" i="32" s="1"/>
  <c r="F4" i="32"/>
  <c r="G4" i="32" s="1"/>
  <c r="G3" i="32"/>
  <c r="F3" i="32"/>
  <c r="G2" i="32"/>
  <c r="F2" i="32"/>
  <c r="B22" i="31"/>
  <c r="B21" i="31"/>
  <c r="B20" i="31"/>
  <c r="G7" i="31" s="1"/>
  <c r="E15" i="31"/>
  <c r="E14" i="31"/>
  <c r="E13" i="31"/>
  <c r="C13" i="31"/>
  <c r="C14" i="31" s="1"/>
  <c r="E12" i="31"/>
  <c r="D12" i="31"/>
  <c r="D13" i="31" s="1"/>
  <c r="D14" i="31" s="1"/>
  <c r="C12" i="31"/>
  <c r="B12" i="31"/>
  <c r="F11" i="31"/>
  <c r="G11" i="31" s="1"/>
  <c r="F10" i="31"/>
  <c r="G10" i="31" s="1"/>
  <c r="G9" i="31"/>
  <c r="F9" i="31"/>
  <c r="F8" i="31"/>
  <c r="G8" i="31" s="1"/>
  <c r="F7" i="31"/>
  <c r="G6" i="31"/>
  <c r="F6" i="31"/>
  <c r="G5" i="31"/>
  <c r="F5" i="31"/>
  <c r="F4" i="31"/>
  <c r="G4" i="31" s="1"/>
  <c r="F3" i="31"/>
  <c r="G3" i="31" s="1"/>
  <c r="F2" i="31"/>
  <c r="G2" i="31" s="1"/>
  <c r="B21" i="30"/>
  <c r="B20" i="30"/>
  <c r="G3" i="30" s="1"/>
  <c r="E15" i="30"/>
  <c r="E14" i="30"/>
  <c r="B14" i="30"/>
  <c r="E13" i="30"/>
  <c r="D13" i="30"/>
  <c r="D14" i="30" s="1"/>
  <c r="C13" i="30"/>
  <c r="C14" i="30" s="1"/>
  <c r="B13" i="30"/>
  <c r="E12" i="30"/>
  <c r="F12" i="30" s="1"/>
  <c r="G12" i="30" s="1"/>
  <c r="D12" i="30"/>
  <c r="C12" i="30"/>
  <c r="B12" i="30"/>
  <c r="F11" i="30"/>
  <c r="G11" i="30" s="1"/>
  <c r="F10" i="30"/>
  <c r="F9" i="30"/>
  <c r="F8" i="30"/>
  <c r="F7" i="30"/>
  <c r="F6" i="30"/>
  <c r="G6" i="30" s="1"/>
  <c r="F5" i="30"/>
  <c r="F4" i="30"/>
  <c r="F3" i="30"/>
  <c r="F2" i="30"/>
  <c r="B21" i="29"/>
  <c r="B22" i="29" s="1"/>
  <c r="B20" i="29"/>
  <c r="D14" i="29"/>
  <c r="D13" i="29"/>
  <c r="B13" i="29"/>
  <c r="B14" i="29" s="1"/>
  <c r="E12" i="29"/>
  <c r="E13" i="29" s="1"/>
  <c r="E14" i="29" s="1"/>
  <c r="E15" i="29" s="1"/>
  <c r="D12" i="29"/>
  <c r="C12" i="29"/>
  <c r="C13" i="29" s="1"/>
  <c r="C14" i="29" s="1"/>
  <c r="C15" i="29" s="1"/>
  <c r="B12" i="29"/>
  <c r="G11" i="29"/>
  <c r="F11" i="29"/>
  <c r="G10" i="29"/>
  <c r="F10" i="29"/>
  <c r="G9" i="29"/>
  <c r="F9" i="29"/>
  <c r="F8" i="29"/>
  <c r="G8" i="29" s="1"/>
  <c r="F7" i="29"/>
  <c r="G7" i="29" s="1"/>
  <c r="F6" i="29"/>
  <c r="G6" i="29" s="1"/>
  <c r="G5" i="29"/>
  <c r="F5" i="29"/>
  <c r="G4" i="29"/>
  <c r="F4" i="29"/>
  <c r="G3" i="29"/>
  <c r="F3" i="29"/>
  <c r="G2" i="29"/>
  <c r="F2" i="29"/>
  <c r="B21" i="28"/>
  <c r="B22" i="28" s="1"/>
  <c r="B20" i="28"/>
  <c r="E15" i="28"/>
  <c r="E14" i="28"/>
  <c r="D14" i="28"/>
  <c r="E13" i="28"/>
  <c r="C13" i="28"/>
  <c r="C14" i="28" s="1"/>
  <c r="B13" i="28"/>
  <c r="F13" i="28" s="1"/>
  <c r="F12" i="28"/>
  <c r="G12" i="28" s="1"/>
  <c r="E12" i="28"/>
  <c r="D12" i="28"/>
  <c r="D13" i="28" s="1"/>
  <c r="C12" i="28"/>
  <c r="B12" i="28"/>
  <c r="G11" i="28"/>
  <c r="F11" i="28"/>
  <c r="F10" i="28"/>
  <c r="G10" i="28" s="1"/>
  <c r="G9" i="28"/>
  <c r="F9" i="28"/>
  <c r="G8" i="28"/>
  <c r="F8" i="28"/>
  <c r="F7" i="28"/>
  <c r="G7" i="28" s="1"/>
  <c r="F6" i="28"/>
  <c r="G6" i="28" s="1"/>
  <c r="F5" i="28"/>
  <c r="G5" i="28" s="1"/>
  <c r="F4" i="28"/>
  <c r="G4" i="28" s="1"/>
  <c r="G3" i="28"/>
  <c r="F3" i="28"/>
  <c r="F2" i="28"/>
  <c r="G2" i="28" s="1"/>
  <c r="B21" i="27"/>
  <c r="B20" i="27"/>
  <c r="G5" i="27" s="1"/>
  <c r="E15" i="27"/>
  <c r="E14" i="27"/>
  <c r="E13" i="27"/>
  <c r="D13" i="27"/>
  <c r="D14" i="27" s="1"/>
  <c r="C13" i="27"/>
  <c r="C14" i="27" s="1"/>
  <c r="E12" i="27"/>
  <c r="D12" i="27"/>
  <c r="C12" i="27"/>
  <c r="B12" i="27"/>
  <c r="F11" i="27"/>
  <c r="F10" i="27"/>
  <c r="G9" i="27"/>
  <c r="F9" i="27"/>
  <c r="F8" i="27"/>
  <c r="F7" i="27"/>
  <c r="F6" i="27"/>
  <c r="F5" i="27"/>
  <c r="F4" i="27"/>
  <c r="F3" i="27"/>
  <c r="F2" i="27"/>
  <c r="B22" i="26"/>
  <c r="B21" i="26"/>
  <c r="B20" i="26"/>
  <c r="E15" i="26"/>
  <c r="E14" i="26"/>
  <c r="B14" i="26"/>
  <c r="E13" i="26"/>
  <c r="D13" i="26"/>
  <c r="D14" i="26" s="1"/>
  <c r="B13" i="26"/>
  <c r="E12" i="26"/>
  <c r="D12" i="26"/>
  <c r="C12" i="26"/>
  <c r="C13" i="26" s="1"/>
  <c r="B12" i="26"/>
  <c r="G11" i="26"/>
  <c r="F11" i="26"/>
  <c r="F10" i="26"/>
  <c r="G10" i="26" s="1"/>
  <c r="F9" i="26"/>
  <c r="G9" i="26" s="1"/>
  <c r="F8" i="26"/>
  <c r="G8" i="26" s="1"/>
  <c r="G7" i="26"/>
  <c r="F7" i="26"/>
  <c r="G6" i="26"/>
  <c r="F6" i="26"/>
  <c r="G5" i="26"/>
  <c r="F5" i="26"/>
  <c r="G4" i="26"/>
  <c r="F4" i="26"/>
  <c r="F3" i="26"/>
  <c r="G3" i="26" s="1"/>
  <c r="F2" i="26"/>
  <c r="G2" i="26" s="1"/>
  <c r="B21" i="25"/>
  <c r="B22" i="25" s="1"/>
  <c r="B20" i="25"/>
  <c r="E12" i="25"/>
  <c r="E13" i="25" s="1"/>
  <c r="E14" i="25" s="1"/>
  <c r="D12" i="25"/>
  <c r="C12" i="25"/>
  <c r="B12" i="25"/>
  <c r="F12" i="25" s="1"/>
  <c r="G12" i="25" s="1"/>
  <c r="G11" i="25"/>
  <c r="F11" i="25"/>
  <c r="G10" i="25"/>
  <c r="F10" i="25"/>
  <c r="F9" i="25"/>
  <c r="G9" i="25" s="1"/>
  <c r="F8" i="25"/>
  <c r="G8" i="25" s="1"/>
  <c r="F7" i="25"/>
  <c r="G7" i="25" s="1"/>
  <c r="F6" i="25"/>
  <c r="G6" i="25" s="1"/>
  <c r="G5" i="25"/>
  <c r="F5" i="25"/>
  <c r="F4" i="25"/>
  <c r="G4" i="25" s="1"/>
  <c r="G3" i="25"/>
  <c r="F3" i="25"/>
  <c r="G2" i="25"/>
  <c r="F2" i="25"/>
  <c r="B22" i="24"/>
  <c r="B21" i="24"/>
  <c r="C13" i="24" s="1"/>
  <c r="C14" i="24" s="1"/>
  <c r="B20" i="24"/>
  <c r="E15" i="24"/>
  <c r="E14" i="24"/>
  <c r="E13" i="24"/>
  <c r="F12" i="24"/>
  <c r="G12" i="24" s="1"/>
  <c r="E12" i="24"/>
  <c r="D12" i="24"/>
  <c r="D13" i="24" s="1"/>
  <c r="D14" i="24" s="1"/>
  <c r="C12" i="24"/>
  <c r="B12" i="24"/>
  <c r="G11" i="24"/>
  <c r="F11" i="24"/>
  <c r="G10" i="24"/>
  <c r="F10" i="24"/>
  <c r="G9" i="24"/>
  <c r="F9" i="24"/>
  <c r="G8" i="24"/>
  <c r="F8" i="24"/>
  <c r="G7" i="24"/>
  <c r="F7" i="24"/>
  <c r="F6" i="24"/>
  <c r="G6" i="24" s="1"/>
  <c r="F5" i="24"/>
  <c r="G5" i="24" s="1"/>
  <c r="F4" i="24"/>
  <c r="G4" i="24" s="1"/>
  <c r="G3" i="24"/>
  <c r="F3" i="24"/>
  <c r="G2" i="24"/>
  <c r="F2" i="24"/>
  <c r="B22" i="23"/>
  <c r="B21" i="23"/>
  <c r="B20" i="23"/>
  <c r="G7" i="23" s="1"/>
  <c r="E15" i="23"/>
  <c r="E14" i="23"/>
  <c r="E13" i="23"/>
  <c r="C13" i="23"/>
  <c r="C14" i="23" s="1"/>
  <c r="E12" i="23"/>
  <c r="D12" i="23"/>
  <c r="D13" i="23" s="1"/>
  <c r="D14" i="23" s="1"/>
  <c r="C12" i="23"/>
  <c r="B12" i="23"/>
  <c r="F11" i="23"/>
  <c r="G11" i="23" s="1"/>
  <c r="F10" i="23"/>
  <c r="G10" i="23" s="1"/>
  <c r="G9" i="23"/>
  <c r="F9" i="23"/>
  <c r="F8" i="23"/>
  <c r="G8" i="23" s="1"/>
  <c r="F7" i="23"/>
  <c r="G6" i="23"/>
  <c r="F6" i="23"/>
  <c r="G5" i="23"/>
  <c r="F5" i="23"/>
  <c r="F4" i="23"/>
  <c r="G4" i="23" s="1"/>
  <c r="F3" i="23"/>
  <c r="G3" i="23" s="1"/>
  <c r="F2" i="23"/>
  <c r="G2" i="23" s="1"/>
  <c r="B21" i="22"/>
  <c r="B20" i="22"/>
  <c r="G7" i="22" s="1"/>
  <c r="E15" i="22"/>
  <c r="E14" i="22"/>
  <c r="C14" i="22"/>
  <c r="C15" i="22" s="1"/>
  <c r="B14" i="22"/>
  <c r="E13" i="22"/>
  <c r="D13" i="22"/>
  <c r="D14" i="22" s="1"/>
  <c r="C13" i="22"/>
  <c r="F13" i="22" s="1"/>
  <c r="B13" i="22"/>
  <c r="E12" i="22"/>
  <c r="F12" i="22" s="1"/>
  <c r="G12" i="22" s="1"/>
  <c r="D12" i="22"/>
  <c r="C12" i="22"/>
  <c r="B12" i="22"/>
  <c r="F11" i="22"/>
  <c r="G11" i="22" s="1"/>
  <c r="F10" i="22"/>
  <c r="F9" i="22"/>
  <c r="F8" i="22"/>
  <c r="F7" i="22"/>
  <c r="F6" i="22"/>
  <c r="F5" i="22"/>
  <c r="F4" i="22"/>
  <c r="G3" i="22"/>
  <c r="F3" i="22"/>
  <c r="F2" i="22"/>
  <c r="B21" i="21"/>
  <c r="B22" i="21" s="1"/>
  <c r="B20" i="21"/>
  <c r="D13" i="21"/>
  <c r="D14" i="21" s="1"/>
  <c r="B13" i="21"/>
  <c r="B14" i="21" s="1"/>
  <c r="E12" i="21"/>
  <c r="E13" i="21" s="1"/>
  <c r="E14" i="21" s="1"/>
  <c r="D12" i="21"/>
  <c r="C12" i="21"/>
  <c r="C13" i="21" s="1"/>
  <c r="C14" i="21" s="1"/>
  <c r="C15" i="21" s="1"/>
  <c r="B12" i="21"/>
  <c r="G11" i="21"/>
  <c r="F11" i="21"/>
  <c r="G10" i="21"/>
  <c r="F10" i="21"/>
  <c r="F9" i="21"/>
  <c r="G9" i="21" s="1"/>
  <c r="F8" i="21"/>
  <c r="G8" i="21" s="1"/>
  <c r="F7" i="21"/>
  <c r="G7" i="21" s="1"/>
  <c r="F6" i="21"/>
  <c r="G6" i="21" s="1"/>
  <c r="G5" i="21"/>
  <c r="F5" i="21"/>
  <c r="F4" i="21"/>
  <c r="G4" i="21" s="1"/>
  <c r="G3" i="21"/>
  <c r="F3" i="21"/>
  <c r="G2" i="21"/>
  <c r="F2" i="21"/>
  <c r="B21" i="20"/>
  <c r="C13" i="20" s="1"/>
  <c r="C14" i="20" s="1"/>
  <c r="B20" i="20"/>
  <c r="E15" i="20"/>
  <c r="E14" i="20"/>
  <c r="E13" i="20"/>
  <c r="E12" i="20"/>
  <c r="D12" i="20"/>
  <c r="D13" i="20" s="1"/>
  <c r="D14" i="20" s="1"/>
  <c r="C12" i="20"/>
  <c r="B12" i="20"/>
  <c r="B13" i="20" s="1"/>
  <c r="G11" i="20"/>
  <c r="F11" i="20"/>
  <c r="G10" i="20"/>
  <c r="F10" i="20"/>
  <c r="G9" i="20"/>
  <c r="F9" i="20"/>
  <c r="G8" i="20"/>
  <c r="F8" i="20"/>
  <c r="F7" i="20"/>
  <c r="G7" i="20" s="1"/>
  <c r="F6" i="20"/>
  <c r="G6" i="20" s="1"/>
  <c r="F5" i="20"/>
  <c r="G5" i="20" s="1"/>
  <c r="F4" i="20"/>
  <c r="G4" i="20" s="1"/>
  <c r="G3" i="20"/>
  <c r="F3" i="20"/>
  <c r="G2" i="20"/>
  <c r="F2" i="20"/>
  <c r="B21" i="19"/>
  <c r="B20" i="19"/>
  <c r="G8" i="19" s="1"/>
  <c r="D13" i="19"/>
  <c r="D14" i="19" s="1"/>
  <c r="C13" i="19"/>
  <c r="C14" i="19" s="1"/>
  <c r="E12" i="19"/>
  <c r="E13" i="19" s="1"/>
  <c r="E14" i="19" s="1"/>
  <c r="D12" i="19"/>
  <c r="C12" i="19"/>
  <c r="B12" i="19"/>
  <c r="G11" i="19"/>
  <c r="F11" i="19"/>
  <c r="F10" i="19"/>
  <c r="G10" i="19" s="1"/>
  <c r="G9" i="19"/>
  <c r="F9" i="19"/>
  <c r="F8" i="19"/>
  <c r="F7" i="19"/>
  <c r="F6" i="19"/>
  <c r="F5" i="19"/>
  <c r="G5" i="19" s="1"/>
  <c r="F4" i="19"/>
  <c r="F3" i="19"/>
  <c r="F2" i="19"/>
  <c r="G2" i="19" s="1"/>
  <c r="B21" i="18"/>
  <c r="B20" i="18"/>
  <c r="G7" i="18" s="1"/>
  <c r="E15" i="18"/>
  <c r="E14" i="18"/>
  <c r="C14" i="18"/>
  <c r="C15" i="18" s="1"/>
  <c r="B14" i="18"/>
  <c r="E13" i="18"/>
  <c r="D13" i="18"/>
  <c r="D14" i="18" s="1"/>
  <c r="C13" i="18"/>
  <c r="F13" i="18" s="1"/>
  <c r="B13" i="18"/>
  <c r="E12" i="18"/>
  <c r="F12" i="18" s="1"/>
  <c r="G12" i="18" s="1"/>
  <c r="D12" i="18"/>
  <c r="C12" i="18"/>
  <c r="B12" i="18"/>
  <c r="F11" i="18"/>
  <c r="F10" i="18"/>
  <c r="F9" i="18"/>
  <c r="F8" i="18"/>
  <c r="F7" i="18"/>
  <c r="F6" i="18"/>
  <c r="F5" i="18"/>
  <c r="F4" i="18"/>
  <c r="F3" i="18"/>
  <c r="G3" i="18" s="1"/>
  <c r="F2" i="18"/>
  <c r="B23" i="17"/>
  <c r="B22" i="17"/>
  <c r="B21" i="17"/>
  <c r="E16" i="17"/>
  <c r="E15" i="17"/>
  <c r="D15" i="17"/>
  <c r="E14" i="17"/>
  <c r="D14" i="17"/>
  <c r="C14" i="17"/>
  <c r="C15" i="17" s="1"/>
  <c r="E13" i="17"/>
  <c r="D13" i="17"/>
  <c r="C13" i="17"/>
  <c r="B13" i="17"/>
  <c r="B14" i="17" s="1"/>
  <c r="G12" i="17"/>
  <c r="F12" i="17"/>
  <c r="G11" i="17"/>
  <c r="F11" i="17"/>
  <c r="G10" i="17"/>
  <c r="F10" i="17"/>
  <c r="F9" i="17"/>
  <c r="G9" i="17" s="1"/>
  <c r="G8" i="17"/>
  <c r="F8" i="17"/>
  <c r="F7" i="17"/>
  <c r="G7" i="17" s="1"/>
  <c r="G6" i="17"/>
  <c r="F6" i="17"/>
  <c r="F5" i="17"/>
  <c r="G5" i="17" s="1"/>
  <c r="G4" i="17"/>
  <c r="F4" i="17"/>
  <c r="G3" i="17"/>
  <c r="F3" i="17"/>
  <c r="G2" i="17"/>
  <c r="F2" i="17"/>
  <c r="B21" i="16"/>
  <c r="E13" i="16" s="1"/>
  <c r="E14" i="16" s="1"/>
  <c r="B20" i="16"/>
  <c r="E12" i="16"/>
  <c r="D12" i="16"/>
  <c r="D13" i="16" s="1"/>
  <c r="D14" i="16" s="1"/>
  <c r="C12" i="16"/>
  <c r="C13" i="16" s="1"/>
  <c r="C14" i="16" s="1"/>
  <c r="B12" i="16"/>
  <c r="F11" i="16"/>
  <c r="G11" i="16" s="1"/>
  <c r="F10" i="16"/>
  <c r="F9" i="16"/>
  <c r="F8" i="16"/>
  <c r="G8" i="16" s="1"/>
  <c r="F7" i="16"/>
  <c r="F6" i="16"/>
  <c r="G6" i="16" s="1"/>
  <c r="F5" i="16"/>
  <c r="G4" i="16"/>
  <c r="F4" i="16"/>
  <c r="G3" i="16"/>
  <c r="F3" i="16"/>
  <c r="G2" i="16"/>
  <c r="F2" i="16"/>
  <c r="B21" i="15"/>
  <c r="B20" i="15"/>
  <c r="B22" i="15" s="1"/>
  <c r="D14" i="15"/>
  <c r="D15" i="15" s="1"/>
  <c r="E13" i="15"/>
  <c r="E14" i="15" s="1"/>
  <c r="E15" i="15" s="1"/>
  <c r="C13" i="15"/>
  <c r="C14" i="15" s="1"/>
  <c r="C15" i="15" s="1"/>
  <c r="F12" i="15"/>
  <c r="G12" i="15" s="1"/>
  <c r="E12" i="15"/>
  <c r="D12" i="15"/>
  <c r="D13" i="15" s="1"/>
  <c r="C12" i="15"/>
  <c r="B12" i="15"/>
  <c r="B13" i="15" s="1"/>
  <c r="B14" i="15" s="1"/>
  <c r="F11" i="15"/>
  <c r="G11" i="15" s="1"/>
  <c r="F10" i="15"/>
  <c r="G9" i="15"/>
  <c r="F9" i="15"/>
  <c r="G8" i="15"/>
  <c r="F8" i="15"/>
  <c r="G7" i="15"/>
  <c r="F7" i="15"/>
  <c r="G6" i="15"/>
  <c r="F6" i="15"/>
  <c r="F5" i="15"/>
  <c r="G5" i="15" s="1"/>
  <c r="G4" i="15"/>
  <c r="F4" i="15"/>
  <c r="F3" i="15"/>
  <c r="G3" i="15" s="1"/>
  <c r="G2" i="15"/>
  <c r="F2" i="15"/>
  <c r="B21" i="14"/>
  <c r="B20" i="14"/>
  <c r="G5" i="14" s="1"/>
  <c r="E15" i="14"/>
  <c r="E14" i="14"/>
  <c r="E13" i="14"/>
  <c r="C13" i="14"/>
  <c r="C14" i="14" s="1"/>
  <c r="E12" i="14"/>
  <c r="D12" i="14"/>
  <c r="C12" i="14"/>
  <c r="B12" i="14"/>
  <c r="F12" i="14" s="1"/>
  <c r="G12" i="14" s="1"/>
  <c r="F11" i="14"/>
  <c r="G11" i="14" s="1"/>
  <c r="F10" i="14"/>
  <c r="G10" i="14" s="1"/>
  <c r="F9" i="14"/>
  <c r="G8" i="14"/>
  <c r="F8" i="14"/>
  <c r="G7" i="14"/>
  <c r="F7" i="14"/>
  <c r="G6" i="14"/>
  <c r="F6" i="14"/>
  <c r="F5" i="14"/>
  <c r="G4" i="14"/>
  <c r="F4" i="14"/>
  <c r="F3" i="14"/>
  <c r="G2" i="14"/>
  <c r="F2" i="14"/>
  <c r="B21" i="13"/>
  <c r="B13" i="13" s="1"/>
  <c r="B20" i="13"/>
  <c r="B22" i="13" s="1"/>
  <c r="E15" i="13"/>
  <c r="E14" i="13"/>
  <c r="C14" i="13"/>
  <c r="E13" i="13"/>
  <c r="E12" i="13"/>
  <c r="D12" i="13"/>
  <c r="D13" i="13" s="1"/>
  <c r="D14" i="13" s="1"/>
  <c r="C12" i="13"/>
  <c r="C13" i="13" s="1"/>
  <c r="B12" i="13"/>
  <c r="F12" i="13" s="1"/>
  <c r="G12" i="13" s="1"/>
  <c r="F11" i="13"/>
  <c r="F10" i="13"/>
  <c r="G10" i="13" s="1"/>
  <c r="F9" i="13"/>
  <c r="F8" i="13"/>
  <c r="G8" i="13" s="1"/>
  <c r="F7" i="13"/>
  <c r="F6" i="13"/>
  <c r="F5" i="13"/>
  <c r="G5" i="13" s="1"/>
  <c r="F4" i="13"/>
  <c r="F3" i="13"/>
  <c r="F2" i="13"/>
  <c r="G2" i="13" s="1"/>
  <c r="B21" i="12"/>
  <c r="E13" i="12" s="1"/>
  <c r="E14" i="12" s="1"/>
  <c r="B20" i="12"/>
  <c r="B22" i="12" s="1"/>
  <c r="D13" i="12"/>
  <c r="D14" i="12" s="1"/>
  <c r="B13" i="12"/>
  <c r="F12" i="12"/>
  <c r="G12" i="12" s="1"/>
  <c r="E12" i="12"/>
  <c r="D12" i="12"/>
  <c r="C12" i="12"/>
  <c r="C13" i="12" s="1"/>
  <c r="C14" i="12" s="1"/>
  <c r="B12" i="12"/>
  <c r="F11" i="12"/>
  <c r="G11" i="12" s="1"/>
  <c r="G10" i="12"/>
  <c r="F10" i="12"/>
  <c r="F9" i="12"/>
  <c r="F8" i="12"/>
  <c r="G8" i="12" s="1"/>
  <c r="F7" i="12"/>
  <c r="F6" i="12"/>
  <c r="F5" i="12"/>
  <c r="G5" i="12" s="1"/>
  <c r="F4" i="12"/>
  <c r="F3" i="12"/>
  <c r="G3" i="12" s="1"/>
  <c r="F2" i="12"/>
  <c r="B22" i="11"/>
  <c r="B21" i="11"/>
  <c r="B20" i="11"/>
  <c r="G2" i="11" s="1"/>
  <c r="E15" i="11"/>
  <c r="E14" i="11"/>
  <c r="D14" i="11"/>
  <c r="E13" i="11"/>
  <c r="C13" i="11"/>
  <c r="C14" i="11" s="1"/>
  <c r="F12" i="11"/>
  <c r="G12" i="11" s="1"/>
  <c r="E12" i="11"/>
  <c r="D12" i="11"/>
  <c r="D13" i="11" s="1"/>
  <c r="C12" i="11"/>
  <c r="B12" i="11"/>
  <c r="B13" i="11" s="1"/>
  <c r="B14" i="11" s="1"/>
  <c r="F11" i="11"/>
  <c r="F10" i="11"/>
  <c r="G9" i="11"/>
  <c r="F9" i="11"/>
  <c r="G8" i="11"/>
  <c r="F8" i="11"/>
  <c r="G7" i="11"/>
  <c r="F7" i="11"/>
  <c r="G6" i="11"/>
  <c r="F6" i="11"/>
  <c r="F5" i="11"/>
  <c r="G5" i="11" s="1"/>
  <c r="G4" i="11"/>
  <c r="F4" i="11"/>
  <c r="F3" i="11"/>
  <c r="G3" i="11" s="1"/>
  <c r="F2" i="11"/>
  <c r="B21" i="10"/>
  <c r="B20" i="10"/>
  <c r="G5" i="10" s="1"/>
  <c r="E13" i="10"/>
  <c r="E14" i="10" s="1"/>
  <c r="C13" i="10"/>
  <c r="C14" i="10" s="1"/>
  <c r="E12" i="10"/>
  <c r="D12" i="10"/>
  <c r="C12" i="10"/>
  <c r="B12" i="10"/>
  <c r="F12" i="10" s="1"/>
  <c r="G12" i="10" s="1"/>
  <c r="F11" i="10"/>
  <c r="G11" i="10" s="1"/>
  <c r="F10" i="10"/>
  <c r="G10" i="10" s="1"/>
  <c r="F9" i="10"/>
  <c r="G8" i="10"/>
  <c r="F8" i="10"/>
  <c r="G7" i="10"/>
  <c r="F7" i="10"/>
  <c r="G6" i="10"/>
  <c r="F6" i="10"/>
  <c r="F5" i="10"/>
  <c r="F4" i="10"/>
  <c r="F3" i="10"/>
  <c r="G2" i="10"/>
  <c r="F2" i="10"/>
  <c r="B21" i="9"/>
  <c r="B13" i="9" s="1"/>
  <c r="B20" i="9"/>
  <c r="B22" i="9" s="1"/>
  <c r="E15" i="9"/>
  <c r="E14" i="9"/>
  <c r="E13" i="9"/>
  <c r="E12" i="9"/>
  <c r="D12" i="9"/>
  <c r="D13" i="9" s="1"/>
  <c r="D14" i="9" s="1"/>
  <c r="C12" i="9"/>
  <c r="B12" i="9"/>
  <c r="F11" i="9"/>
  <c r="F10" i="9"/>
  <c r="G10" i="9" s="1"/>
  <c r="F9" i="9"/>
  <c r="F8" i="9"/>
  <c r="G8" i="9" s="1"/>
  <c r="F7" i="9"/>
  <c r="F6" i="9"/>
  <c r="F5" i="9"/>
  <c r="G5" i="9" s="1"/>
  <c r="F4" i="9"/>
  <c r="F3" i="9"/>
  <c r="F2" i="9"/>
  <c r="G2" i="9" s="1"/>
  <c r="B21" i="8"/>
  <c r="B20" i="8"/>
  <c r="B22" i="8" s="1"/>
  <c r="E14" i="8"/>
  <c r="E13" i="8"/>
  <c r="D13" i="8"/>
  <c r="D14" i="8" s="1"/>
  <c r="B13" i="8"/>
  <c r="F12" i="8"/>
  <c r="G12" i="8" s="1"/>
  <c r="E12" i="8"/>
  <c r="D12" i="8"/>
  <c r="C12" i="8"/>
  <c r="C13" i="8" s="1"/>
  <c r="C14" i="8" s="1"/>
  <c r="B12" i="8"/>
  <c r="F11" i="8"/>
  <c r="G11" i="8" s="1"/>
  <c r="G10" i="8"/>
  <c r="F10" i="8"/>
  <c r="F9" i="8"/>
  <c r="F8" i="8"/>
  <c r="F7" i="8"/>
  <c r="F6" i="8"/>
  <c r="F5" i="8"/>
  <c r="G5" i="8" s="1"/>
  <c r="F4" i="8"/>
  <c r="F3" i="8"/>
  <c r="G3" i="8" s="1"/>
  <c r="F2" i="8"/>
  <c r="B22" i="7"/>
  <c r="B21" i="7"/>
  <c r="B20" i="7"/>
  <c r="G10" i="7" s="1"/>
  <c r="E14" i="7"/>
  <c r="B14" i="7"/>
  <c r="E13" i="7"/>
  <c r="C13" i="7"/>
  <c r="C14" i="7" s="1"/>
  <c r="E12" i="7"/>
  <c r="D12" i="7"/>
  <c r="D13" i="7" s="1"/>
  <c r="D14" i="7" s="1"/>
  <c r="D15" i="7" s="1"/>
  <c r="C12" i="7"/>
  <c r="B12" i="7"/>
  <c r="B13" i="7" s="1"/>
  <c r="F13" i="7" s="1"/>
  <c r="F11" i="7"/>
  <c r="F10" i="7"/>
  <c r="G9" i="7"/>
  <c r="F9" i="7"/>
  <c r="F8" i="7"/>
  <c r="F7" i="7"/>
  <c r="F6" i="7"/>
  <c r="G6" i="7" s="1"/>
  <c r="F5" i="7"/>
  <c r="G5" i="7" s="1"/>
  <c r="F4" i="7"/>
  <c r="G4" i="7" s="1"/>
  <c r="F3" i="7"/>
  <c r="G2" i="7"/>
  <c r="F2" i="7"/>
  <c r="B21" i="6"/>
  <c r="B20" i="6"/>
  <c r="G4" i="6" s="1"/>
  <c r="E15" i="6"/>
  <c r="E14" i="6"/>
  <c r="E13" i="6"/>
  <c r="C13" i="6"/>
  <c r="C14" i="6" s="1"/>
  <c r="B13" i="6"/>
  <c r="B14" i="6" s="1"/>
  <c r="E12" i="6"/>
  <c r="D12" i="6"/>
  <c r="C12" i="6"/>
  <c r="B12" i="6"/>
  <c r="F11" i="6"/>
  <c r="G11" i="6" s="1"/>
  <c r="F10" i="6"/>
  <c r="F9" i="6"/>
  <c r="G9" i="6" s="1"/>
  <c r="F8" i="6"/>
  <c r="F7" i="6"/>
  <c r="G7" i="6" s="1"/>
  <c r="F6" i="6"/>
  <c r="G5" i="6"/>
  <c r="F5" i="6"/>
  <c r="F4" i="6"/>
  <c r="F3" i="6"/>
  <c r="G3" i="6" s="1"/>
  <c r="G2" i="6"/>
  <c r="F2" i="6"/>
  <c r="B21" i="5"/>
  <c r="B20" i="5"/>
  <c r="B22" i="5" s="1"/>
  <c r="E12" i="5"/>
  <c r="E13" i="5" s="1"/>
  <c r="E14" i="5" s="1"/>
  <c r="D12" i="5"/>
  <c r="D13" i="5" s="1"/>
  <c r="D14" i="5" s="1"/>
  <c r="C12" i="5"/>
  <c r="C13" i="5" s="1"/>
  <c r="C14" i="5" s="1"/>
  <c r="B12" i="5"/>
  <c r="B13" i="5" s="1"/>
  <c r="F11" i="5"/>
  <c r="F10" i="5"/>
  <c r="F9" i="5"/>
  <c r="F8" i="5"/>
  <c r="F7" i="5"/>
  <c r="F6" i="5"/>
  <c r="F5" i="5"/>
  <c r="F4" i="5"/>
  <c r="F3" i="5"/>
  <c r="F2" i="5"/>
  <c r="B22" i="4"/>
  <c r="B21" i="4"/>
  <c r="B20" i="4"/>
  <c r="E15" i="4"/>
  <c r="E14" i="4"/>
  <c r="E13" i="4"/>
  <c r="D13" i="4"/>
  <c r="D14" i="4" s="1"/>
  <c r="C13" i="4"/>
  <c r="C14" i="4" s="1"/>
  <c r="E12" i="4"/>
  <c r="D12" i="4"/>
  <c r="C12" i="4"/>
  <c r="B12" i="4"/>
  <c r="B13" i="4" s="1"/>
  <c r="F11" i="4"/>
  <c r="G11" i="4" s="1"/>
  <c r="F10" i="4"/>
  <c r="G10" i="4" s="1"/>
  <c r="F9" i="4"/>
  <c r="G9" i="4" s="1"/>
  <c r="F8" i="4"/>
  <c r="G8" i="4" s="1"/>
  <c r="G7" i="4"/>
  <c r="F7" i="4"/>
  <c r="G6" i="4"/>
  <c r="F6" i="4"/>
  <c r="G5" i="4"/>
  <c r="F5" i="4"/>
  <c r="G4" i="4"/>
  <c r="F4" i="4"/>
  <c r="F3" i="4"/>
  <c r="G3" i="4" s="1"/>
  <c r="F2" i="4"/>
  <c r="G2" i="4" s="1"/>
  <c r="B21" i="3"/>
  <c r="B13" i="3" s="1"/>
  <c r="B20" i="3"/>
  <c r="B22" i="3" s="1"/>
  <c r="E15" i="3"/>
  <c r="E14" i="3"/>
  <c r="E13" i="3"/>
  <c r="E12" i="3"/>
  <c r="F12" i="3" s="1"/>
  <c r="G12" i="3" s="1"/>
  <c r="D12" i="3"/>
  <c r="D13" i="3" s="1"/>
  <c r="D14" i="3" s="1"/>
  <c r="C12" i="3"/>
  <c r="C13" i="3" s="1"/>
  <c r="C14" i="3" s="1"/>
  <c r="B12" i="3"/>
  <c r="F11" i="3"/>
  <c r="F10" i="3"/>
  <c r="F9" i="3"/>
  <c r="F8" i="3"/>
  <c r="F7" i="3"/>
  <c r="F6" i="3"/>
  <c r="G5" i="3"/>
  <c r="F5" i="3"/>
  <c r="G4" i="3"/>
  <c r="F4" i="3"/>
  <c r="G3" i="3"/>
  <c r="F3" i="3"/>
  <c r="F2" i="3"/>
  <c r="B21" i="2"/>
  <c r="B20" i="2"/>
  <c r="B22" i="2" s="1"/>
  <c r="E15" i="2"/>
  <c r="E14" i="2"/>
  <c r="E13" i="2"/>
  <c r="E12" i="2"/>
  <c r="D12" i="2"/>
  <c r="D13" i="2" s="1"/>
  <c r="D14" i="2" s="1"/>
  <c r="C12" i="2"/>
  <c r="C13" i="2" s="1"/>
  <c r="C14" i="2" s="1"/>
  <c r="B12" i="2"/>
  <c r="B13" i="2" s="1"/>
  <c r="G11" i="2"/>
  <c r="F11" i="2"/>
  <c r="G10" i="2"/>
  <c r="F10" i="2"/>
  <c r="G9" i="2"/>
  <c r="F9" i="2"/>
  <c r="G8" i="2"/>
  <c r="F8" i="2"/>
  <c r="F7" i="2"/>
  <c r="G7" i="2" s="1"/>
  <c r="G6" i="2"/>
  <c r="F6" i="2"/>
  <c r="F5" i="2"/>
  <c r="G5" i="2" s="1"/>
  <c r="F4" i="2"/>
  <c r="G4" i="2" s="1"/>
  <c r="G3" i="2"/>
  <c r="F3" i="2"/>
  <c r="G2" i="2"/>
  <c r="F2" i="2"/>
  <c r="G3" i="5" l="1"/>
  <c r="G4" i="5"/>
  <c r="G5" i="5"/>
  <c r="G9" i="5"/>
  <c r="G2" i="5"/>
  <c r="G10" i="5"/>
  <c r="G11" i="5"/>
  <c r="G6" i="3"/>
  <c r="G8" i="3"/>
  <c r="G9" i="3"/>
  <c r="G10" i="3"/>
  <c r="G7" i="3"/>
  <c r="G11" i="3"/>
  <c r="G2" i="3"/>
  <c r="G6" i="22"/>
  <c r="E15" i="21"/>
  <c r="C14" i="34"/>
  <c r="F13" i="34"/>
  <c r="D15" i="21"/>
  <c r="C14" i="38"/>
  <c r="F13" i="38"/>
  <c r="D15" i="3"/>
  <c r="C15" i="11"/>
  <c r="F13" i="4"/>
  <c r="B14" i="4"/>
  <c r="D15" i="11"/>
  <c r="F13" i="20"/>
  <c r="B14" i="20"/>
  <c r="B14" i="13"/>
  <c r="C15" i="13" s="1"/>
  <c r="F13" i="13"/>
  <c r="F14" i="21"/>
  <c r="B15" i="21"/>
  <c r="F13" i="26"/>
  <c r="C14" i="26"/>
  <c r="B15" i="26" s="1"/>
  <c r="D15" i="2"/>
  <c r="C15" i="4"/>
  <c r="C15" i="7"/>
  <c r="B15" i="29"/>
  <c r="F14" i="29"/>
  <c r="F13" i="3"/>
  <c r="B14" i="3"/>
  <c r="B14" i="2"/>
  <c r="F13" i="2"/>
  <c r="F13" i="5"/>
  <c r="B14" i="5"/>
  <c r="E15" i="5" s="1"/>
  <c r="B15" i="7"/>
  <c r="F15" i="7" s="1"/>
  <c r="D15" i="4"/>
  <c r="C15" i="5"/>
  <c r="F14" i="15"/>
  <c r="B15" i="15"/>
  <c r="F15" i="15" s="1"/>
  <c r="F14" i="17"/>
  <c r="B15" i="17"/>
  <c r="F14" i="11"/>
  <c r="B15" i="11"/>
  <c r="C15" i="2"/>
  <c r="B14" i="9"/>
  <c r="D15" i="5"/>
  <c r="C15" i="20"/>
  <c r="C15" i="30"/>
  <c r="F14" i="30"/>
  <c r="G4" i="18"/>
  <c r="G10" i="39"/>
  <c r="G6" i="6"/>
  <c r="F12" i="7"/>
  <c r="G12" i="7" s="1"/>
  <c r="G2" i="8"/>
  <c r="G9" i="9"/>
  <c r="G2" i="12"/>
  <c r="G9" i="13"/>
  <c r="B22" i="16"/>
  <c r="B22" i="18"/>
  <c r="G4" i="22"/>
  <c r="B22" i="22"/>
  <c r="B13" i="23"/>
  <c r="F12" i="23"/>
  <c r="G12" i="23" s="1"/>
  <c r="G4" i="30"/>
  <c r="B22" i="30"/>
  <c r="B13" i="31"/>
  <c r="F12" i="31"/>
  <c r="G12" i="31" s="1"/>
  <c r="B15" i="34"/>
  <c r="G11" i="39"/>
  <c r="B22" i="39"/>
  <c r="D16" i="17"/>
  <c r="G5" i="18"/>
  <c r="G7" i="27"/>
  <c r="B14" i="28"/>
  <c r="G4" i="38"/>
  <c r="F12" i="38"/>
  <c r="G12" i="38" s="1"/>
  <c r="B22" i="38"/>
  <c r="B13" i="39"/>
  <c r="F12" i="39"/>
  <c r="G12" i="39" s="1"/>
  <c r="B13" i="19"/>
  <c r="F12" i="19"/>
  <c r="G12" i="19" s="1"/>
  <c r="F13" i="21"/>
  <c r="G5" i="22"/>
  <c r="G5" i="30"/>
  <c r="B14" i="36"/>
  <c r="C15" i="36" s="1"/>
  <c r="B13" i="37"/>
  <c r="G2" i="39"/>
  <c r="B22" i="40"/>
  <c r="G6" i="27"/>
  <c r="F12" i="2"/>
  <c r="G12" i="2" s="1"/>
  <c r="F13" i="11"/>
  <c r="F13" i="15"/>
  <c r="G6" i="18"/>
  <c r="G3" i="19"/>
  <c r="B22" i="19"/>
  <c r="G8" i="27"/>
  <c r="F13" i="29"/>
  <c r="G5" i="38"/>
  <c r="G3" i="39"/>
  <c r="B13" i="43"/>
  <c r="F12" i="43"/>
  <c r="G12" i="43" s="1"/>
  <c r="F12" i="21"/>
  <c r="G12" i="21" s="1"/>
  <c r="G8" i="6"/>
  <c r="G7" i="7"/>
  <c r="G4" i="8"/>
  <c r="G11" i="9"/>
  <c r="G9" i="10"/>
  <c r="G4" i="12"/>
  <c r="G11" i="13"/>
  <c r="G9" i="14"/>
  <c r="G5" i="16"/>
  <c r="F12" i="16"/>
  <c r="G12" i="16" s="1"/>
  <c r="D15" i="18"/>
  <c r="G4" i="19"/>
  <c r="D15" i="22"/>
  <c r="D15" i="30"/>
  <c r="G4" i="39"/>
  <c r="D13" i="40"/>
  <c r="D14" i="40" s="1"/>
  <c r="F12" i="41"/>
  <c r="G12" i="41" s="1"/>
  <c r="G8" i="7"/>
  <c r="G3" i="9"/>
  <c r="C13" i="9"/>
  <c r="C14" i="9" s="1"/>
  <c r="C15" i="9" s="1"/>
  <c r="F12" i="9"/>
  <c r="G12" i="9" s="1"/>
  <c r="G3" i="13"/>
  <c r="B13" i="16"/>
  <c r="G8" i="18"/>
  <c r="B13" i="24"/>
  <c r="C13" i="25"/>
  <c r="C14" i="25" s="1"/>
  <c r="G10" i="27"/>
  <c r="G7" i="30"/>
  <c r="F13" i="30"/>
  <c r="B13" i="32"/>
  <c r="C13" i="33"/>
  <c r="C14" i="33" s="1"/>
  <c r="G2" i="34"/>
  <c r="F12" i="40"/>
  <c r="G12" i="40" s="1"/>
  <c r="D15" i="34"/>
  <c r="D15" i="29"/>
  <c r="G6" i="38"/>
  <c r="F12" i="5"/>
  <c r="G12" i="5" s="1"/>
  <c r="G10" i="6"/>
  <c r="E15" i="7"/>
  <c r="G6" i="8"/>
  <c r="F13" i="8"/>
  <c r="G6" i="12"/>
  <c r="F13" i="12"/>
  <c r="G7" i="16"/>
  <c r="B15" i="18"/>
  <c r="F15" i="18" s="1"/>
  <c r="G8" i="22"/>
  <c r="B15" i="22"/>
  <c r="G11" i="27"/>
  <c r="B22" i="27"/>
  <c r="G8" i="30"/>
  <c r="B15" i="30"/>
  <c r="F15" i="30" s="1"/>
  <c r="G7" i="38"/>
  <c r="B13" i="40"/>
  <c r="G6" i="5"/>
  <c r="G7" i="8"/>
  <c r="G4" i="9"/>
  <c r="G7" i="12"/>
  <c r="G4" i="13"/>
  <c r="G9" i="18"/>
  <c r="G6" i="19"/>
  <c r="G9" i="22"/>
  <c r="F12" i="26"/>
  <c r="G12" i="26" s="1"/>
  <c r="B13" i="27"/>
  <c r="F12" i="27"/>
  <c r="G12" i="27" s="1"/>
  <c r="G9" i="30"/>
  <c r="G8" i="38"/>
  <c r="B15" i="38"/>
  <c r="G6" i="39"/>
  <c r="C13" i="40"/>
  <c r="C14" i="40" s="1"/>
  <c r="B13" i="41"/>
  <c r="C14" i="42"/>
  <c r="F13" i="42"/>
  <c r="G13" i="42" s="1"/>
  <c r="F12" i="6"/>
  <c r="G12" i="6" s="1"/>
  <c r="G3" i="10"/>
  <c r="B22" i="10"/>
  <c r="G10" i="11"/>
  <c r="G3" i="14"/>
  <c r="B22" i="14"/>
  <c r="G10" i="15"/>
  <c r="G10" i="18"/>
  <c r="B22" i="20"/>
  <c r="G10" i="22"/>
  <c r="B13" i="25"/>
  <c r="G2" i="27"/>
  <c r="G10" i="30"/>
  <c r="B13" i="33"/>
  <c r="B22" i="34"/>
  <c r="B13" i="35"/>
  <c r="F12" i="35"/>
  <c r="G12" i="35" s="1"/>
  <c r="G9" i="38"/>
  <c r="D13" i="41"/>
  <c r="D14" i="41" s="1"/>
  <c r="D15" i="38"/>
  <c r="G7" i="5"/>
  <c r="B22" i="6"/>
  <c r="G8" i="8"/>
  <c r="B14" i="8"/>
  <c r="D15" i="8" s="1"/>
  <c r="D13" i="10"/>
  <c r="D14" i="10" s="1"/>
  <c r="G11" i="11"/>
  <c r="B14" i="12"/>
  <c r="D15" i="12" s="1"/>
  <c r="D13" i="14"/>
  <c r="D14" i="14" s="1"/>
  <c r="F13" i="17"/>
  <c r="G13" i="17" s="1"/>
  <c r="F14" i="18"/>
  <c r="G7" i="19"/>
  <c r="F12" i="20"/>
  <c r="G12" i="20" s="1"/>
  <c r="F14" i="22"/>
  <c r="D13" i="25"/>
  <c r="D14" i="25" s="1"/>
  <c r="G3" i="27"/>
  <c r="D13" i="33"/>
  <c r="D14" i="33" s="1"/>
  <c r="G4" i="34"/>
  <c r="F12" i="34"/>
  <c r="G12" i="34" s="1"/>
  <c r="G2" i="35"/>
  <c r="G10" i="38"/>
  <c r="F12" i="4"/>
  <c r="G12" i="4" s="1"/>
  <c r="D13" i="6"/>
  <c r="D14" i="6" s="1"/>
  <c r="D15" i="6" s="1"/>
  <c r="G11" i="7"/>
  <c r="G4" i="10"/>
  <c r="G9" i="16"/>
  <c r="G2" i="18"/>
  <c r="G11" i="18"/>
  <c r="G4" i="27"/>
  <c r="G3" i="35"/>
  <c r="F14" i="7"/>
  <c r="G12" i="33"/>
  <c r="G8" i="5"/>
  <c r="G9" i="8"/>
  <c r="E15" i="8"/>
  <c r="G6" i="9"/>
  <c r="G9" i="12"/>
  <c r="G6" i="13"/>
  <c r="G2" i="22"/>
  <c r="G2" i="30"/>
  <c r="G4" i="35"/>
  <c r="G3" i="7"/>
  <c r="G7" i="9"/>
  <c r="B13" i="10"/>
  <c r="G7" i="13"/>
  <c r="B13" i="14"/>
  <c r="G10" i="16"/>
  <c r="F12" i="29"/>
  <c r="G12" i="29" s="1"/>
  <c r="G2" i="38"/>
  <c r="G8" i="43"/>
  <c r="F15" i="22" l="1"/>
  <c r="B14" i="25"/>
  <c r="F13" i="25"/>
  <c r="D15" i="13"/>
  <c r="C15" i="6"/>
  <c r="F13" i="6"/>
  <c r="B15" i="9"/>
  <c r="F15" i="9" s="1"/>
  <c r="F14" i="9"/>
  <c r="E15" i="12"/>
  <c r="B15" i="20"/>
  <c r="F15" i="20" s="1"/>
  <c r="F14" i="20"/>
  <c r="F15" i="38"/>
  <c r="F13" i="23"/>
  <c r="B14" i="23"/>
  <c r="F13" i="27"/>
  <c r="B14" i="27"/>
  <c r="B15" i="5"/>
  <c r="F15" i="5" s="1"/>
  <c r="F14" i="5"/>
  <c r="F13" i="9"/>
  <c r="F13" i="32"/>
  <c r="B14" i="32"/>
  <c r="B14" i="37"/>
  <c r="F13" i="37"/>
  <c r="F15" i="11"/>
  <c r="C15" i="38"/>
  <c r="F14" i="38"/>
  <c r="B14" i="10"/>
  <c r="F13" i="10"/>
  <c r="D15" i="36"/>
  <c r="B15" i="2"/>
  <c r="F15" i="2" s="1"/>
  <c r="F14" i="2"/>
  <c r="D15" i="9"/>
  <c r="C15" i="26"/>
  <c r="F15" i="26" s="1"/>
  <c r="F14" i="26"/>
  <c r="D15" i="25"/>
  <c r="D15" i="20"/>
  <c r="D15" i="40"/>
  <c r="C15" i="25"/>
  <c r="C16" i="17"/>
  <c r="B16" i="17"/>
  <c r="F15" i="17"/>
  <c r="F15" i="21"/>
  <c r="E15" i="34"/>
  <c r="C15" i="34"/>
  <c r="F15" i="34" s="1"/>
  <c r="F14" i="34"/>
  <c r="B15" i="8"/>
  <c r="F15" i="8" s="1"/>
  <c r="F14" i="8"/>
  <c r="C15" i="8"/>
  <c r="F13" i="24"/>
  <c r="B14" i="24"/>
  <c r="B15" i="3"/>
  <c r="F14" i="3"/>
  <c r="B15" i="13"/>
  <c r="F15" i="13" s="1"/>
  <c r="F14" i="13"/>
  <c r="B14" i="14"/>
  <c r="F13" i="14"/>
  <c r="D15" i="26"/>
  <c r="F14" i="42"/>
  <c r="C15" i="42"/>
  <c r="F13" i="19"/>
  <c r="B14" i="19"/>
  <c r="F13" i="31"/>
  <c r="B14" i="31"/>
  <c r="B15" i="36"/>
  <c r="F14" i="36"/>
  <c r="B14" i="33"/>
  <c r="F13" i="33"/>
  <c r="B14" i="41"/>
  <c r="D15" i="41" s="1"/>
  <c r="F13" i="41"/>
  <c r="F13" i="16"/>
  <c r="B14" i="16"/>
  <c r="F14" i="6"/>
  <c r="C15" i="3"/>
  <c r="B15" i="4"/>
  <c r="F15" i="4" s="1"/>
  <c r="F14" i="4"/>
  <c r="B15" i="28"/>
  <c r="F14" i="28"/>
  <c r="B14" i="43"/>
  <c r="F13" i="43"/>
  <c r="F13" i="40"/>
  <c r="B14" i="40"/>
  <c r="B15" i="12"/>
  <c r="F14" i="12"/>
  <c r="C15" i="12"/>
  <c r="B15" i="6"/>
  <c r="F15" i="6" s="1"/>
  <c r="F13" i="35"/>
  <c r="B14" i="35"/>
  <c r="D15" i="14"/>
  <c r="F13" i="39"/>
  <c r="B14" i="39"/>
  <c r="C15" i="28"/>
  <c r="F15" i="29"/>
  <c r="D15" i="28"/>
  <c r="F14" i="39" l="1"/>
  <c r="B15" i="39"/>
  <c r="D15" i="39"/>
  <c r="C15" i="39"/>
  <c r="B15" i="33"/>
  <c r="F14" i="33"/>
  <c r="C16" i="42"/>
  <c r="B16" i="42"/>
  <c r="F15" i="42"/>
  <c r="D16" i="42"/>
  <c r="F14" i="23"/>
  <c r="B15" i="23"/>
  <c r="C15" i="23"/>
  <c r="D15" i="23"/>
  <c r="F14" i="10"/>
  <c r="B15" i="10"/>
  <c r="F15" i="10" s="1"/>
  <c r="E15" i="10"/>
  <c r="C15" i="10"/>
  <c r="F16" i="17"/>
  <c r="D15" i="33"/>
  <c r="F15" i="3"/>
  <c r="D15" i="10"/>
  <c r="B15" i="24"/>
  <c r="F14" i="24"/>
  <c r="C15" i="24"/>
  <c r="D15" i="24"/>
  <c r="B15" i="32"/>
  <c r="F14" i="32"/>
  <c r="D15" i="32"/>
  <c r="C15" i="32"/>
  <c r="F15" i="36"/>
  <c r="F14" i="31"/>
  <c r="B15" i="31"/>
  <c r="D15" i="31"/>
  <c r="C15" i="31"/>
  <c r="B15" i="43"/>
  <c r="F14" i="43"/>
  <c r="D15" i="43"/>
  <c r="C15" i="43"/>
  <c r="F14" i="41"/>
  <c r="B15" i="41"/>
  <c r="F15" i="41" s="1"/>
  <c r="C15" i="41"/>
  <c r="C15" i="33"/>
  <c r="F14" i="25"/>
  <c r="E15" i="25"/>
  <c r="B15" i="25"/>
  <c r="F15" i="25" s="1"/>
  <c r="F14" i="35"/>
  <c r="B15" i="35"/>
  <c r="F15" i="35" s="1"/>
  <c r="C15" i="35"/>
  <c r="D15" i="35"/>
  <c r="B15" i="16"/>
  <c r="F14" i="16"/>
  <c r="C15" i="16"/>
  <c r="D15" i="16"/>
  <c r="E15" i="16"/>
  <c r="F14" i="14"/>
  <c r="B15" i="14"/>
  <c r="C15" i="14"/>
  <c r="F15" i="12"/>
  <c r="B15" i="37"/>
  <c r="F14" i="37"/>
  <c r="E15" i="37"/>
  <c r="D15" i="37"/>
  <c r="C15" i="37"/>
  <c r="B15" i="40"/>
  <c r="F14" i="40"/>
  <c r="E15" i="40"/>
  <c r="C15" i="40"/>
  <c r="F14" i="19"/>
  <c r="B15" i="19"/>
  <c r="D15" i="19"/>
  <c r="E15" i="19"/>
  <c r="C15" i="19"/>
  <c r="F15" i="28"/>
  <c r="F14" i="27"/>
  <c r="B15" i="27"/>
  <c r="D15" i="27"/>
  <c r="C15" i="27"/>
  <c r="F15" i="32" l="1"/>
  <c r="F15" i="24"/>
  <c r="F15" i="33"/>
  <c r="F15" i="37"/>
  <c r="F15" i="23"/>
  <c r="F15" i="27"/>
  <c r="F15" i="14"/>
  <c r="F15" i="19"/>
  <c r="F15" i="39"/>
  <c r="F16" i="42"/>
  <c r="F15" i="43"/>
  <c r="F15" i="16"/>
  <c r="F15" i="40"/>
  <c r="F15" i="31"/>
</calcChain>
</file>

<file path=xl/sharedStrings.xml><?xml version="1.0" encoding="utf-8"?>
<sst xmlns="http://schemas.openxmlformats.org/spreadsheetml/2006/main" count="1213" uniqueCount="42">
  <si>
    <t>プレイヤー</t>
  </si>
  <si>
    <t>えいご</t>
  </si>
  <si>
    <t>おうた</t>
  </si>
  <si>
    <t>かいと</t>
  </si>
  <si>
    <t>きむら</t>
  </si>
  <si>
    <t>参加数</t>
  </si>
  <si>
    <t>プレイヤー名</t>
  </si>
  <si>
    <t>だいち</t>
  </si>
  <si>
    <t>合計</t>
  </si>
  <si>
    <t>点数チェック</t>
  </si>
  <si>
    <t>1 ゲーム目</t>
  </si>
  <si>
    <t>2 ゲーム目</t>
  </si>
  <si>
    <t>3 ゲーム目</t>
  </si>
  <si>
    <t>4 ゲーム目</t>
  </si>
  <si>
    <t>5 ゲーム目</t>
  </si>
  <si>
    <t>6 ゲーム目</t>
  </si>
  <si>
    <t>7 ゲーム目</t>
  </si>
  <si>
    <t>8 ゲーム目</t>
  </si>
  <si>
    <t>9 ゲーム目</t>
  </si>
  <si>
    <t>10 ゲーム目</t>
  </si>
  <si>
    <t>増減</t>
  </si>
  <si>
    <t>-</t>
  </si>
  <si>
    <t>清算</t>
  </si>
  <si>
    <t>順位</t>
  </si>
  <si>
    <t>持ち点</t>
  </si>
  <si>
    <t>レート</t>
  </si>
  <si>
    <t>プレイヤー数</t>
  </si>
  <si>
    <t>ゲーム数</t>
  </si>
  <si>
    <t>合計点</t>
  </si>
  <si>
    <t>ちんちん</t>
  </si>
  <si>
    <t>11 ゲーム目</t>
  </si>
  <si>
    <t>たくむ</t>
  </si>
  <si>
    <t>ウンコロガシ万個万子</t>
  </si>
  <si>
    <t>11ゲーム目</t>
  </si>
  <si>
    <t>整合性チェック</t>
  </si>
  <si>
    <t>合計点が多すぎます、点数もしくは持ち点を確認してください。</t>
  </si>
  <si>
    <t>合計点が少なすぎます、点数もしくは持ち点を確認してください。</t>
  </si>
  <si>
    <t>#ERROR!</t>
  </si>
  <si>
    <t>プレイヤー名</t>
    <phoneticPr fontId="3"/>
  </si>
  <si>
    <t>きむら</t>
    <phoneticPr fontId="3"/>
  </si>
  <si>
    <t>かいと</t>
    <phoneticPr fontId="3"/>
  </si>
  <si>
    <t>えいご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</si>
</sst>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7"/>
      <name val="Arial"/>
      <scheme val="minor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3" fontId="1" fillId="0" borderId="0" xfId="0" applyNumberFormat="1" applyFont="1"/>
    <xf numFmtId="3" fontId="1" fillId="3" borderId="0" xfId="0" applyNumberFormat="1" applyFont="1" applyFill="1"/>
    <xf numFmtId="49" fontId="2" fillId="3" borderId="0" xfId="0" applyNumberFormat="1" applyFont="1" applyFill="1"/>
    <xf numFmtId="176" fontId="1" fillId="3" borderId="0" xfId="0" applyNumberFormat="1" applyFont="1" applyFill="1"/>
    <xf numFmtId="0" fontId="1" fillId="4" borderId="0" xfId="0" applyFont="1" applyFill="1"/>
    <xf numFmtId="3" fontId="1" fillId="4" borderId="0" xfId="0" applyNumberFormat="1" applyFont="1" applyFill="1"/>
    <xf numFmtId="0" fontId="1" fillId="5" borderId="0" xfId="0" applyFont="1" applyFill="1"/>
    <xf numFmtId="0" fontId="4" fillId="3" borderId="0" xfId="0" applyFont="1" applyFill="1"/>
  </cellXfs>
  <cellStyles count="1">
    <cellStyle name="標準" xfId="0" builtinId="0"/>
  </cellStyles>
  <dxfs count="42"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workbookViewId="0"/>
  </sheetViews>
  <sheetFormatPr defaultColWidth="12.59765625" defaultRowHeight="15.75" customHeight="1" x14ac:dyDescent="0.35"/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</row>
    <row r="2" spans="1:6" x14ac:dyDescent="0.35">
      <c r="A2" s="2" t="s">
        <v>5</v>
      </c>
      <c r="B2" s="2" t="s">
        <v>37</v>
      </c>
    </row>
    <row r="6" spans="1:6" x14ac:dyDescent="0.35">
      <c r="B6" s="3"/>
      <c r="C6" s="3"/>
      <c r="D6" s="3"/>
      <c r="E6" s="3"/>
      <c r="F6" s="3"/>
    </row>
    <row r="7" spans="1:6" x14ac:dyDescent="0.35">
      <c r="A7" s="3"/>
      <c r="B7" s="4"/>
      <c r="C7" s="4"/>
      <c r="D7" s="4"/>
      <c r="E7" s="4"/>
      <c r="F7" s="4"/>
    </row>
    <row r="8" spans="1:6" x14ac:dyDescent="0.35">
      <c r="A8" s="5"/>
      <c r="B8" s="4"/>
      <c r="C8" s="4"/>
      <c r="D8" s="4"/>
      <c r="E8" s="4"/>
      <c r="F8" s="4"/>
    </row>
    <row r="9" spans="1:6" x14ac:dyDescent="0.35">
      <c r="A9" s="5"/>
      <c r="B9" s="3"/>
      <c r="C9" s="3"/>
      <c r="D9" s="3"/>
      <c r="E9" s="3"/>
      <c r="F9" s="3"/>
    </row>
  </sheetData>
  <phoneticPr fontId="3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マスタ!$B$2:$B$1000</xm:f>
          </x14:formula1>
          <xm:sqref>B1:F1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7</v>
      </c>
      <c r="C1" s="6" t="s">
        <v>1</v>
      </c>
      <c r="D1" s="6" t="s">
        <v>3</v>
      </c>
      <c r="E1" s="6"/>
      <c r="F1" s="6" t="s">
        <v>8</v>
      </c>
      <c r="G1" s="6" t="s">
        <v>9</v>
      </c>
    </row>
    <row r="2" spans="1:7" x14ac:dyDescent="0.35">
      <c r="A2" s="6" t="s">
        <v>10</v>
      </c>
      <c r="B2" s="7">
        <v>79000</v>
      </c>
      <c r="C2" s="7">
        <v>-4000</v>
      </c>
      <c r="D2" s="7">
        <v>30000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>
        <v>78000</v>
      </c>
      <c r="C3" s="7">
        <v>-10000</v>
      </c>
      <c r="D3" s="7">
        <v>37000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>
        <v>29000</v>
      </c>
      <c r="C4" s="7">
        <v>9000</v>
      </c>
      <c r="D4" s="7">
        <v>67000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>
        <v>22000</v>
      </c>
      <c r="C5" s="7">
        <v>33000</v>
      </c>
      <c r="D5" s="7">
        <v>50000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208000</v>
      </c>
      <c r="C12" s="8">
        <f t="shared" si="1"/>
        <v>28000</v>
      </c>
      <c r="D12" s="8">
        <f t="shared" si="1"/>
        <v>184000</v>
      </c>
      <c r="E12" s="8" t="str">
        <f>IF(COUNTA(E$1), SUM(E$2:E$11), "-")</f>
        <v>-</v>
      </c>
      <c r="F12" s="8">
        <f t="shared" si="0"/>
        <v>420000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68000</v>
      </c>
      <c r="C13" s="8">
        <f t="shared" si="2"/>
        <v>-112000</v>
      </c>
      <c r="D13" s="8">
        <f t="shared" si="2"/>
        <v>44000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3400</v>
      </c>
      <c r="C14" s="10">
        <f t="shared" si="3"/>
        <v>-5600</v>
      </c>
      <c r="D14" s="10">
        <f t="shared" si="3"/>
        <v>2200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1</v>
      </c>
      <c r="C15" s="6">
        <f t="shared" si="4"/>
        <v>3</v>
      </c>
      <c r="D15" s="6">
        <f t="shared" si="4"/>
        <v>2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x14ac:dyDescent="0.35">
      <c r="A17" s="11" t="s">
        <v>24</v>
      </c>
      <c r="B17" s="12">
        <v>35000</v>
      </c>
    </row>
    <row r="18" spans="1:2" x14ac:dyDescent="0.35">
      <c r="A18" s="11" t="s">
        <v>25</v>
      </c>
      <c r="B18" s="11">
        <v>0.05</v>
      </c>
    </row>
    <row r="20" spans="1:2" x14ac:dyDescent="0.35">
      <c r="A20" s="13" t="s">
        <v>26</v>
      </c>
      <c r="B20" s="13">
        <f>COUNTA($B$1:$E$1)</f>
        <v>3</v>
      </c>
    </row>
    <row r="21" spans="1:2" x14ac:dyDescent="0.35">
      <c r="A21" s="13" t="s">
        <v>27</v>
      </c>
      <c r="B21" s="13">
        <f>COUNT($B$2:$B$11)</f>
        <v>4</v>
      </c>
    </row>
    <row r="22" spans="1:2" x14ac:dyDescent="0.35">
      <c r="A22" s="13" t="s">
        <v>28</v>
      </c>
      <c r="B22" s="13">
        <f>$B$17*$B$20*$B$21</f>
        <v>420000</v>
      </c>
    </row>
  </sheetData>
  <phoneticPr fontId="3"/>
  <conditionalFormatting sqref="G2:G12">
    <cfRule type="notContainsText" dxfId="41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100-000000000000}">
      <formula1>"0.05,0.06,0.08,0.1,0.12,0.2"</formula1>
    </dataValidation>
    <dataValidation type="list" allowBlank="1" showErrorMessage="1" sqref="B17" xr:uid="{00000000-0002-0000-01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2"/>
  <sheetViews>
    <sheetView workbookViewId="0">
      <selection activeCell="I9" sqref="I9"/>
    </sheetView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4</v>
      </c>
      <c r="C1" s="6" t="s">
        <v>7</v>
      </c>
      <c r="D1" s="6" t="s">
        <v>3</v>
      </c>
      <c r="E1" s="6"/>
      <c r="F1" s="6" t="s">
        <v>8</v>
      </c>
      <c r="G1" s="6" t="s">
        <v>9</v>
      </c>
    </row>
    <row r="2" spans="1:7" x14ac:dyDescent="0.35">
      <c r="A2" s="6" t="s">
        <v>10</v>
      </c>
      <c r="B2" s="7">
        <v>-2000</v>
      </c>
      <c r="C2" s="7">
        <v>39000</v>
      </c>
      <c r="D2" s="7">
        <v>68000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>
        <v>86000</v>
      </c>
      <c r="C3" s="7">
        <v>42000</v>
      </c>
      <c r="D3" s="7">
        <v>-23000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>
        <v>33000</v>
      </c>
      <c r="C4" s="7">
        <v>30000</v>
      </c>
      <c r="D4" s="7">
        <v>42000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117000</v>
      </c>
      <c r="C12" s="8">
        <f t="shared" si="1"/>
        <v>111000</v>
      </c>
      <c r="D12" s="8">
        <f t="shared" si="1"/>
        <v>87000</v>
      </c>
      <c r="E12" s="8" t="str">
        <f>IF(COUNTA(E$1), SUM(E$2:E$11), "-")</f>
        <v>-</v>
      </c>
      <c r="F12" s="8">
        <f t="shared" si="0"/>
        <v>315000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12000</v>
      </c>
      <c r="C13" s="8">
        <f t="shared" si="2"/>
        <v>6000</v>
      </c>
      <c r="D13" s="8">
        <f t="shared" si="2"/>
        <v>-18000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600</v>
      </c>
      <c r="C14" s="10">
        <f t="shared" si="3"/>
        <v>300</v>
      </c>
      <c r="D14" s="10">
        <f t="shared" si="3"/>
        <v>-900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1</v>
      </c>
      <c r="C15" s="6">
        <f t="shared" si="4"/>
        <v>2</v>
      </c>
      <c r="D15" s="6">
        <f t="shared" si="4"/>
        <v>3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x14ac:dyDescent="0.35">
      <c r="A17" s="11" t="s">
        <v>24</v>
      </c>
      <c r="B17" s="12">
        <v>35000</v>
      </c>
    </row>
    <row r="18" spans="1:2" x14ac:dyDescent="0.35">
      <c r="A18" s="11" t="s">
        <v>25</v>
      </c>
      <c r="B18" s="11">
        <v>0.05</v>
      </c>
    </row>
    <row r="20" spans="1:2" x14ac:dyDescent="0.35">
      <c r="A20" s="13" t="s">
        <v>26</v>
      </c>
      <c r="B20" s="13">
        <f>COUNTA($B$1:$E$1)</f>
        <v>3</v>
      </c>
    </row>
    <row r="21" spans="1:2" x14ac:dyDescent="0.35">
      <c r="A21" s="13" t="s">
        <v>27</v>
      </c>
      <c r="B21" s="13">
        <f>COUNT($B$2:$B$11)</f>
        <v>3</v>
      </c>
    </row>
    <row r="22" spans="1:2" x14ac:dyDescent="0.35">
      <c r="A22" s="13" t="s">
        <v>28</v>
      </c>
      <c r="B22" s="13">
        <f>$B$17*$B$20*$B$21</f>
        <v>315000</v>
      </c>
    </row>
  </sheetData>
  <phoneticPr fontId="3"/>
  <conditionalFormatting sqref="G2:G12">
    <cfRule type="notContainsText" dxfId="40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200-000000000000}">
      <formula1>"0.05,0.06,0.08,0.1,0.12,0.2"</formula1>
    </dataValidation>
    <dataValidation type="list" allowBlank="1" showErrorMessage="1" sqref="B17" xr:uid="{00000000-0002-0000-02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2</v>
      </c>
      <c r="C1" s="6" t="s">
        <v>7</v>
      </c>
      <c r="D1" s="6" t="s">
        <v>3</v>
      </c>
      <c r="E1" s="6"/>
      <c r="F1" s="6" t="s">
        <v>8</v>
      </c>
      <c r="G1" s="6" t="s">
        <v>9</v>
      </c>
    </row>
    <row r="2" spans="1:7" x14ac:dyDescent="0.35">
      <c r="A2" s="6" t="s">
        <v>10</v>
      </c>
      <c r="B2" s="7">
        <v>2000</v>
      </c>
      <c r="C2" s="7">
        <v>20000</v>
      </c>
      <c r="D2" s="7">
        <v>83000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/>
      <c r="C3" s="7"/>
      <c r="D3" s="7"/>
      <c r="E3" s="7"/>
      <c r="F3" s="8">
        <f t="shared" si="0"/>
        <v>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2000</v>
      </c>
      <c r="C12" s="8">
        <f t="shared" si="1"/>
        <v>20000</v>
      </c>
      <c r="D12" s="8">
        <f t="shared" si="1"/>
        <v>83000</v>
      </c>
      <c r="E12" s="8" t="str">
        <f>IF(COUNTA(E$1), SUM(E$2:E$11), "-")</f>
        <v>-</v>
      </c>
      <c r="F12" s="8">
        <f t="shared" si="0"/>
        <v>105000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-33000</v>
      </c>
      <c r="C13" s="8">
        <f t="shared" si="2"/>
        <v>-15000</v>
      </c>
      <c r="D13" s="8">
        <f t="shared" si="2"/>
        <v>48000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-1650</v>
      </c>
      <c r="C14" s="10">
        <f t="shared" si="3"/>
        <v>-750</v>
      </c>
      <c r="D14" s="10">
        <f t="shared" si="3"/>
        <v>2400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3</v>
      </c>
      <c r="C15" s="6">
        <f t="shared" si="4"/>
        <v>2</v>
      </c>
      <c r="D15" s="6">
        <f t="shared" si="4"/>
        <v>1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x14ac:dyDescent="0.35">
      <c r="A17" s="11" t="s">
        <v>24</v>
      </c>
      <c r="B17" s="12">
        <v>35000</v>
      </c>
    </row>
    <row r="18" spans="1:2" x14ac:dyDescent="0.35">
      <c r="A18" s="11" t="s">
        <v>25</v>
      </c>
      <c r="B18" s="11">
        <v>0.05</v>
      </c>
    </row>
    <row r="20" spans="1:2" x14ac:dyDescent="0.35">
      <c r="A20" s="13" t="s">
        <v>26</v>
      </c>
      <c r="B20" s="13">
        <f>COUNTA($B$1:$E$1)</f>
        <v>3</v>
      </c>
    </row>
    <row r="21" spans="1:2" x14ac:dyDescent="0.35">
      <c r="A21" s="13" t="s">
        <v>27</v>
      </c>
      <c r="B21" s="13">
        <f>COUNT($B$2:$B$11)</f>
        <v>1</v>
      </c>
    </row>
    <row r="22" spans="1:2" x14ac:dyDescent="0.35">
      <c r="A22" s="13" t="s">
        <v>28</v>
      </c>
      <c r="B22" s="13">
        <f>$B$17*$B$20*$B$21</f>
        <v>105000</v>
      </c>
    </row>
  </sheetData>
  <phoneticPr fontId="3"/>
  <conditionalFormatting sqref="G2:G12">
    <cfRule type="notContainsText" dxfId="39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300-000000000000}">
      <formula1>"0.05,0.06,0.08,0.1,0.12,0.2"</formula1>
    </dataValidation>
    <dataValidation type="list" allowBlank="1" showErrorMessage="1" sqref="B17" xr:uid="{00000000-0002-0000-03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2"/>
  <sheetViews>
    <sheetView tabSelected="1" workbookViewId="0">
      <selection activeCell="G18" sqref="G18"/>
    </sheetView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7</v>
      </c>
      <c r="C1" s="6" t="s">
        <v>1</v>
      </c>
      <c r="D1" s="6" t="s">
        <v>3</v>
      </c>
      <c r="E1" s="6" t="s">
        <v>4</v>
      </c>
      <c r="F1" s="6" t="s">
        <v>8</v>
      </c>
      <c r="G1" s="6" t="s">
        <v>9</v>
      </c>
    </row>
    <row r="2" spans="1:7" x14ac:dyDescent="0.35">
      <c r="A2" s="6" t="s">
        <v>10</v>
      </c>
      <c r="B2" s="7">
        <v>34700</v>
      </c>
      <c r="C2" s="7">
        <v>-1200</v>
      </c>
      <c r="D2" s="7">
        <v>59400</v>
      </c>
      <c r="E2" s="7">
        <v>7100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>
        <v>34600</v>
      </c>
      <c r="C3" s="7">
        <v>34400</v>
      </c>
      <c r="D3" s="7">
        <v>34000</v>
      </c>
      <c r="E3" s="7">
        <v>-3000</v>
      </c>
      <c r="F3" s="8">
        <f t="shared" si="0"/>
        <v>100000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>
        <v>-1000</v>
      </c>
      <c r="C4" s="7">
        <v>6200</v>
      </c>
      <c r="D4" s="7">
        <v>14100</v>
      </c>
      <c r="E4" s="7">
        <v>80700</v>
      </c>
      <c r="F4" s="8">
        <f t="shared" si="0"/>
        <v>100000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>
        <v>31100</v>
      </c>
      <c r="C5" s="7">
        <v>31500</v>
      </c>
      <c r="D5" s="7">
        <v>14400</v>
      </c>
      <c r="E5" s="7">
        <v>23000</v>
      </c>
      <c r="F5" s="8">
        <f t="shared" si="0"/>
        <v>100000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99400</v>
      </c>
      <c r="C12" s="8">
        <f t="shared" si="1"/>
        <v>70900</v>
      </c>
      <c r="D12" s="8">
        <f t="shared" si="1"/>
        <v>121900</v>
      </c>
      <c r="E12" s="8">
        <f>IF(COUNTA(E$1), SUM(E$2:E$11), "-")</f>
        <v>107800</v>
      </c>
      <c r="F12" s="8">
        <f t="shared" si="0"/>
        <v>400000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-600</v>
      </c>
      <c r="C13" s="8">
        <f t="shared" si="2"/>
        <v>-29100</v>
      </c>
      <c r="D13" s="8">
        <f t="shared" si="2"/>
        <v>21900</v>
      </c>
      <c r="E13" s="8">
        <f>IF(COUNTA(E$1), E12-$B17*$B$21, "-")</f>
        <v>7800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-60</v>
      </c>
      <c r="C14" s="10">
        <f t="shared" si="3"/>
        <v>-2910</v>
      </c>
      <c r="D14" s="10">
        <f t="shared" si="3"/>
        <v>2190</v>
      </c>
      <c r="E14" s="10">
        <f>IF(COUNTA(E$1), E$13*$B$18, "-")</f>
        <v>780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3</v>
      </c>
      <c r="C15" s="6">
        <f t="shared" si="4"/>
        <v>4</v>
      </c>
      <c r="D15" s="6">
        <f t="shared" si="4"/>
        <v>1</v>
      </c>
      <c r="E15" s="6">
        <f>IF(COUNTA(E$1), RANK(E$14, $B$14:$E$14), "-")</f>
        <v>2</v>
      </c>
      <c r="F15" s="8">
        <f t="shared" si="0"/>
        <v>10</v>
      </c>
      <c r="G15" s="6" t="s">
        <v>21</v>
      </c>
    </row>
    <row r="17" spans="1:2" x14ac:dyDescent="0.35">
      <c r="A17" s="11" t="s">
        <v>24</v>
      </c>
      <c r="B17" s="12">
        <v>25000</v>
      </c>
    </row>
    <row r="18" spans="1:2" x14ac:dyDescent="0.35">
      <c r="A18" s="11" t="s">
        <v>25</v>
      </c>
      <c r="B18" s="11">
        <v>0.1</v>
      </c>
    </row>
    <row r="20" spans="1:2" x14ac:dyDescent="0.35">
      <c r="A20" s="13" t="s">
        <v>26</v>
      </c>
      <c r="B20" s="13">
        <f>COUNTA($B$1:$E$1)</f>
        <v>4</v>
      </c>
    </row>
    <row r="21" spans="1:2" x14ac:dyDescent="0.35">
      <c r="A21" s="13" t="s">
        <v>27</v>
      </c>
      <c r="B21" s="13">
        <f>COUNT($B$2:$B$11)</f>
        <v>4</v>
      </c>
    </row>
    <row r="22" spans="1:2" x14ac:dyDescent="0.35">
      <c r="A22" s="13" t="s">
        <v>28</v>
      </c>
      <c r="B22" s="13">
        <f>$B$17*$B$20*$B$21</f>
        <v>400000</v>
      </c>
    </row>
  </sheetData>
  <phoneticPr fontId="3"/>
  <conditionalFormatting sqref="G2:G12">
    <cfRule type="notContainsText" dxfId="38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400-000000000000}">
      <formula1>"0.05,0.06,0.08,0.1,0.12,0.2"</formula1>
    </dataValidation>
    <dataValidation type="list" allowBlank="1" showErrorMessage="1" sqref="B17" xr:uid="{00000000-0002-0000-04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4</v>
      </c>
      <c r="C1" s="6" t="s">
        <v>7</v>
      </c>
      <c r="D1" s="6" t="s">
        <v>3</v>
      </c>
      <c r="E1" s="6"/>
      <c r="F1" s="6" t="s">
        <v>8</v>
      </c>
      <c r="G1" s="6" t="s">
        <v>9</v>
      </c>
    </row>
    <row r="2" spans="1:7" x14ac:dyDescent="0.35">
      <c r="A2" s="6" t="s">
        <v>10</v>
      </c>
      <c r="B2" s="7">
        <v>29000</v>
      </c>
      <c r="C2" s="7">
        <v>25000</v>
      </c>
      <c r="D2" s="7">
        <v>51000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>
        <v>-3000</v>
      </c>
      <c r="C3" s="7">
        <v>70000</v>
      </c>
      <c r="D3" s="7">
        <v>38000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>
        <v>47000</v>
      </c>
      <c r="C4" s="7">
        <v>25000</v>
      </c>
      <c r="D4" s="7">
        <v>33000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>
        <v>20000</v>
      </c>
      <c r="C5" s="7">
        <v>69000</v>
      </c>
      <c r="D5" s="7">
        <v>16000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>
        <v>12000</v>
      </c>
      <c r="C6" s="7">
        <v>58000</v>
      </c>
      <c r="D6" s="7">
        <v>35000</v>
      </c>
      <c r="E6" s="7"/>
      <c r="F6" s="8">
        <f t="shared" si="0"/>
        <v>105000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105000</v>
      </c>
      <c r="C12" s="8">
        <f t="shared" si="1"/>
        <v>247000</v>
      </c>
      <c r="D12" s="8">
        <f t="shared" si="1"/>
        <v>173000</v>
      </c>
      <c r="E12" s="8" t="str">
        <f>IF(COUNTA(E$1), SUM(E$2:E$11), "-")</f>
        <v>-</v>
      </c>
      <c r="F12" s="8">
        <f t="shared" si="0"/>
        <v>525000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-70000</v>
      </c>
      <c r="C13" s="8">
        <f t="shared" si="2"/>
        <v>72000</v>
      </c>
      <c r="D13" s="8">
        <f t="shared" si="2"/>
        <v>-2000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-7000</v>
      </c>
      <c r="C14" s="10">
        <f t="shared" si="3"/>
        <v>7200</v>
      </c>
      <c r="D14" s="10">
        <f t="shared" si="3"/>
        <v>-200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3</v>
      </c>
      <c r="C15" s="6">
        <f t="shared" si="4"/>
        <v>1</v>
      </c>
      <c r="D15" s="6">
        <f t="shared" si="4"/>
        <v>2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x14ac:dyDescent="0.35">
      <c r="A17" s="11" t="s">
        <v>24</v>
      </c>
      <c r="B17" s="12">
        <v>35000</v>
      </c>
    </row>
    <row r="18" spans="1:2" x14ac:dyDescent="0.35">
      <c r="A18" s="11" t="s">
        <v>25</v>
      </c>
      <c r="B18" s="11">
        <v>0.1</v>
      </c>
    </row>
    <row r="20" spans="1:2" x14ac:dyDescent="0.35">
      <c r="A20" s="13" t="s">
        <v>26</v>
      </c>
      <c r="B20" s="13">
        <f>COUNTA($B$1:$E$1)</f>
        <v>3</v>
      </c>
    </row>
    <row r="21" spans="1:2" x14ac:dyDescent="0.35">
      <c r="A21" s="13" t="s">
        <v>27</v>
      </c>
      <c r="B21" s="13">
        <f>COUNT($B$2:$B$11)</f>
        <v>5</v>
      </c>
    </row>
    <row r="22" spans="1:2" x14ac:dyDescent="0.35">
      <c r="A22" s="13" t="s">
        <v>28</v>
      </c>
      <c r="B22" s="13">
        <f>$B$17*$B$20*$B$21</f>
        <v>525000</v>
      </c>
    </row>
  </sheetData>
  <phoneticPr fontId="3"/>
  <conditionalFormatting sqref="G2:G12">
    <cfRule type="notContainsText" dxfId="37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500-000000000000}">
      <formula1>"0.05,0.06,0.08,0.1,0.12,0.2"</formula1>
    </dataValidation>
    <dataValidation type="list" allowBlank="1" showErrorMessage="1" sqref="B17" xr:uid="{00000000-0002-0000-05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4</v>
      </c>
      <c r="C1" s="6" t="s">
        <v>7</v>
      </c>
      <c r="D1" s="6" t="s">
        <v>3</v>
      </c>
      <c r="E1" s="6" t="s">
        <v>1</v>
      </c>
      <c r="F1" s="6" t="s">
        <v>8</v>
      </c>
      <c r="G1" s="6" t="s">
        <v>9</v>
      </c>
    </row>
    <row r="2" spans="1:7" x14ac:dyDescent="0.35">
      <c r="A2" s="6" t="s">
        <v>10</v>
      </c>
      <c r="B2" s="7">
        <v>18000</v>
      </c>
      <c r="C2" s="7">
        <v>26000</v>
      </c>
      <c r="D2" s="7">
        <v>40000</v>
      </c>
      <c r="E2" s="7">
        <v>16000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>
        <v>24000</v>
      </c>
      <c r="C3" s="7">
        <v>22000</v>
      </c>
      <c r="D3" s="7">
        <v>22000</v>
      </c>
      <c r="E3" s="7">
        <v>32000</v>
      </c>
      <c r="F3" s="8">
        <f t="shared" si="0"/>
        <v>100000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42000</v>
      </c>
      <c r="C12" s="8">
        <f t="shared" si="1"/>
        <v>48000</v>
      </c>
      <c r="D12" s="8">
        <f t="shared" si="1"/>
        <v>62000</v>
      </c>
      <c r="E12" s="8">
        <f>IF(COUNTA(E$1), SUM(E$2:E$11), "-")</f>
        <v>48000</v>
      </c>
      <c r="F12" s="8">
        <f t="shared" si="0"/>
        <v>200000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-8000</v>
      </c>
      <c r="C13" s="8">
        <f t="shared" si="2"/>
        <v>-2000</v>
      </c>
      <c r="D13" s="8">
        <f t="shared" si="2"/>
        <v>12000</v>
      </c>
      <c r="E13" s="8">
        <f>IF(COUNTA(E$1), E12-$B17*$B$21, "-")</f>
        <v>-2000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-800</v>
      </c>
      <c r="C14" s="10">
        <f t="shared" si="3"/>
        <v>-200</v>
      </c>
      <c r="D14" s="10">
        <f t="shared" si="3"/>
        <v>1200</v>
      </c>
      <c r="E14" s="10">
        <f>IF(COUNTA(E$1), E$13*$B$18, "-")</f>
        <v>-200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4</v>
      </c>
      <c r="C15" s="6">
        <f t="shared" si="4"/>
        <v>2</v>
      </c>
      <c r="D15" s="6">
        <f t="shared" si="4"/>
        <v>1</v>
      </c>
      <c r="E15" s="6">
        <f>IF(COUNTA(E$1), RANK(E$14, $B$14:$E$14), "-")</f>
        <v>2</v>
      </c>
      <c r="F15" s="8">
        <f t="shared" si="0"/>
        <v>9</v>
      </c>
      <c r="G15" s="6" t="s">
        <v>21</v>
      </c>
    </row>
    <row r="17" spans="1:2" x14ac:dyDescent="0.35">
      <c r="A17" s="11" t="s">
        <v>24</v>
      </c>
      <c r="B17" s="12">
        <v>25000</v>
      </c>
    </row>
    <row r="18" spans="1:2" x14ac:dyDescent="0.35">
      <c r="A18" s="11" t="s">
        <v>25</v>
      </c>
      <c r="B18" s="11">
        <v>0.1</v>
      </c>
    </row>
    <row r="20" spans="1:2" x14ac:dyDescent="0.35">
      <c r="A20" s="13" t="s">
        <v>26</v>
      </c>
      <c r="B20" s="13">
        <f>COUNTA($B$1:$E$1)</f>
        <v>4</v>
      </c>
    </row>
    <row r="21" spans="1:2" x14ac:dyDescent="0.35">
      <c r="A21" s="13" t="s">
        <v>27</v>
      </c>
      <c r="B21" s="13">
        <f>COUNT($B$2:$B$11)</f>
        <v>2</v>
      </c>
    </row>
    <row r="22" spans="1:2" x14ac:dyDescent="0.35">
      <c r="A22" s="13" t="s">
        <v>28</v>
      </c>
      <c r="B22" s="13">
        <f>$B$17*$B$20*$B$21</f>
        <v>200000</v>
      </c>
    </row>
  </sheetData>
  <phoneticPr fontId="3"/>
  <conditionalFormatting sqref="G2:G12">
    <cfRule type="notContainsText" dxfId="36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600-000000000000}">
      <formula1>"0.05,0.06,0.08,0.1,0.12,0.2"</formula1>
    </dataValidation>
    <dataValidation type="list" allowBlank="1" showErrorMessage="1" sqref="B17" xr:uid="{00000000-0002-0000-06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1</v>
      </c>
      <c r="C1" s="6" t="s">
        <v>4</v>
      </c>
      <c r="D1" s="6" t="s">
        <v>3</v>
      </c>
      <c r="E1" s="6" t="s">
        <v>7</v>
      </c>
      <c r="F1" s="6" t="s">
        <v>8</v>
      </c>
      <c r="G1" s="6" t="s">
        <v>9</v>
      </c>
    </row>
    <row r="2" spans="1:7" x14ac:dyDescent="0.35">
      <c r="A2" s="6" t="s">
        <v>10</v>
      </c>
      <c r="B2" s="7">
        <v>18400</v>
      </c>
      <c r="C2" s="7">
        <v>19700</v>
      </c>
      <c r="D2" s="7">
        <v>21400</v>
      </c>
      <c r="E2" s="7">
        <v>40500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>
        <v>-2100</v>
      </c>
      <c r="C3" s="7">
        <v>43100</v>
      </c>
      <c r="D3" s="7">
        <v>19800</v>
      </c>
      <c r="E3" s="7">
        <v>39200</v>
      </c>
      <c r="F3" s="8">
        <f t="shared" si="0"/>
        <v>100000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16300</v>
      </c>
      <c r="C12" s="8">
        <f t="shared" si="1"/>
        <v>62800</v>
      </c>
      <c r="D12" s="8">
        <f t="shared" si="1"/>
        <v>41200</v>
      </c>
      <c r="E12" s="8">
        <f>IF(COUNTA(E$1), SUM(E$2:E$11), "-")</f>
        <v>79700</v>
      </c>
      <c r="F12" s="8">
        <f t="shared" si="0"/>
        <v>200000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-33700</v>
      </c>
      <c r="C13" s="8">
        <f t="shared" si="2"/>
        <v>12800</v>
      </c>
      <c r="D13" s="8">
        <f t="shared" si="2"/>
        <v>-8800</v>
      </c>
      <c r="E13" s="8">
        <f>IF(COUNTA(E$1), E12-$B17*$B$21, "-")</f>
        <v>29700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-3370</v>
      </c>
      <c r="C14" s="10">
        <f t="shared" si="3"/>
        <v>1280</v>
      </c>
      <c r="D14" s="10">
        <f t="shared" si="3"/>
        <v>-880</v>
      </c>
      <c r="E14" s="10">
        <f>IF(COUNTA(E$1), E$13*$B$18, "-")</f>
        <v>2970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4</v>
      </c>
      <c r="C15" s="6">
        <f t="shared" si="4"/>
        <v>2</v>
      </c>
      <c r="D15" s="6">
        <f t="shared" si="4"/>
        <v>3</v>
      </c>
      <c r="E15" s="6">
        <f>IF(COUNTA(E$1), RANK(E$14, $B$14:$E$14), "-")</f>
        <v>1</v>
      </c>
      <c r="F15" s="8">
        <f t="shared" si="0"/>
        <v>10</v>
      </c>
      <c r="G15" s="6" t="s">
        <v>21</v>
      </c>
    </row>
    <row r="17" spans="1:2" x14ac:dyDescent="0.35">
      <c r="A17" s="11" t="s">
        <v>24</v>
      </c>
      <c r="B17" s="12">
        <v>25000</v>
      </c>
    </row>
    <row r="18" spans="1:2" x14ac:dyDescent="0.35">
      <c r="A18" s="11" t="s">
        <v>25</v>
      </c>
      <c r="B18" s="11">
        <v>0.1</v>
      </c>
    </row>
    <row r="20" spans="1:2" x14ac:dyDescent="0.35">
      <c r="A20" s="13" t="s">
        <v>26</v>
      </c>
      <c r="B20" s="13">
        <f>COUNTA($B$1:$E$1)</f>
        <v>4</v>
      </c>
    </row>
    <row r="21" spans="1:2" x14ac:dyDescent="0.35">
      <c r="A21" s="13" t="s">
        <v>27</v>
      </c>
      <c r="B21" s="13">
        <f>COUNT($B$2:$B$11)</f>
        <v>2</v>
      </c>
    </row>
    <row r="22" spans="1:2" x14ac:dyDescent="0.35">
      <c r="A22" s="13" t="s">
        <v>28</v>
      </c>
      <c r="B22" s="13">
        <f>$B$17*$B$20*$B$21</f>
        <v>200000</v>
      </c>
    </row>
  </sheetData>
  <phoneticPr fontId="3"/>
  <conditionalFormatting sqref="G2:G12">
    <cfRule type="notContainsText" dxfId="35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700-000000000000}">
      <formula1>"0.05,0.06,0.08,0.1,0.12,0.2"</formula1>
    </dataValidation>
    <dataValidation type="list" allowBlank="1" showErrorMessage="1" sqref="B17" xr:uid="{00000000-0002-0000-07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7</v>
      </c>
      <c r="C1" s="6" t="s">
        <v>4</v>
      </c>
      <c r="D1" s="6" t="s">
        <v>3</v>
      </c>
      <c r="E1" s="6"/>
      <c r="F1" s="6" t="s">
        <v>8</v>
      </c>
      <c r="G1" s="6" t="s">
        <v>9</v>
      </c>
    </row>
    <row r="2" spans="1:7" x14ac:dyDescent="0.35">
      <c r="A2" s="6" t="s">
        <v>10</v>
      </c>
      <c r="B2" s="7">
        <v>72000</v>
      </c>
      <c r="C2" s="7">
        <v>35000</v>
      </c>
      <c r="D2" s="7">
        <v>-2000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>
        <v>7000</v>
      </c>
      <c r="C3" s="7">
        <v>88000</v>
      </c>
      <c r="D3" s="7">
        <v>10000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>
        <v>25000</v>
      </c>
      <c r="C4" s="7">
        <v>26000</v>
      </c>
      <c r="D4" s="7">
        <v>54000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>
        <v>50000</v>
      </c>
      <c r="C5" s="7">
        <v>29000</v>
      </c>
      <c r="D5" s="7">
        <v>26000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>
        <v>43000</v>
      </c>
      <c r="C6" s="7">
        <v>28000</v>
      </c>
      <c r="D6" s="7">
        <v>34000</v>
      </c>
      <c r="E6" s="7"/>
      <c r="F6" s="8">
        <f t="shared" si="0"/>
        <v>105000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>
        <v>44000</v>
      </c>
      <c r="C7" s="7">
        <v>28000</v>
      </c>
      <c r="D7" s="7">
        <v>33000</v>
      </c>
      <c r="E7" s="7"/>
      <c r="F7" s="8">
        <f t="shared" si="0"/>
        <v>105000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>
        <v>4000</v>
      </c>
      <c r="C8" s="7">
        <v>63000</v>
      </c>
      <c r="D8" s="7">
        <v>38000</v>
      </c>
      <c r="E8" s="7"/>
      <c r="F8" s="8">
        <f t="shared" si="0"/>
        <v>105000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>
        <v>46000</v>
      </c>
      <c r="C9" s="7">
        <v>25000</v>
      </c>
      <c r="D9" s="7">
        <v>34000</v>
      </c>
      <c r="E9" s="7"/>
      <c r="F9" s="8">
        <f t="shared" si="0"/>
        <v>105000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291000</v>
      </c>
      <c r="C12" s="8">
        <f t="shared" si="1"/>
        <v>322000</v>
      </c>
      <c r="D12" s="8">
        <f t="shared" si="1"/>
        <v>227000</v>
      </c>
      <c r="E12" s="8" t="str">
        <f>IF(COUNTA(E$1), SUM(E$2:E$11), "-")</f>
        <v>-</v>
      </c>
      <c r="F12" s="8">
        <f t="shared" si="0"/>
        <v>840000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11000</v>
      </c>
      <c r="C13" s="8">
        <f t="shared" si="2"/>
        <v>42000</v>
      </c>
      <c r="D13" s="8">
        <f t="shared" si="2"/>
        <v>-53000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1100</v>
      </c>
      <c r="C14" s="10">
        <f t="shared" si="3"/>
        <v>4200</v>
      </c>
      <c r="D14" s="10">
        <f t="shared" si="3"/>
        <v>-5300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2</v>
      </c>
      <c r="C15" s="6">
        <f t="shared" si="4"/>
        <v>1</v>
      </c>
      <c r="D15" s="6">
        <f t="shared" si="4"/>
        <v>3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x14ac:dyDescent="0.35">
      <c r="A17" s="11" t="s">
        <v>24</v>
      </c>
      <c r="B17" s="12">
        <v>35000</v>
      </c>
    </row>
    <row r="18" spans="1:2" x14ac:dyDescent="0.35">
      <c r="A18" s="11" t="s">
        <v>25</v>
      </c>
      <c r="B18" s="11">
        <v>0.1</v>
      </c>
    </row>
    <row r="20" spans="1:2" x14ac:dyDescent="0.35">
      <c r="A20" s="13" t="s">
        <v>26</v>
      </c>
      <c r="B20" s="13">
        <f>COUNTA($B$1:$E$1)</f>
        <v>3</v>
      </c>
    </row>
    <row r="21" spans="1:2" x14ac:dyDescent="0.35">
      <c r="A21" s="13" t="s">
        <v>27</v>
      </c>
      <c r="B21" s="13">
        <f>COUNT($B$2:$B$11)</f>
        <v>8</v>
      </c>
    </row>
    <row r="22" spans="1:2" x14ac:dyDescent="0.35">
      <c r="A22" s="13" t="s">
        <v>28</v>
      </c>
      <c r="B22" s="13">
        <f>$B$17*$B$20*$B$21</f>
        <v>840000</v>
      </c>
    </row>
  </sheetData>
  <phoneticPr fontId="3"/>
  <conditionalFormatting sqref="G2:G12">
    <cfRule type="notContainsText" dxfId="34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800-000000000000}">
      <formula1>"0.05,0.06,0.08,0.1,0.12,0.2"</formula1>
    </dataValidation>
    <dataValidation type="list" allowBlank="1" showErrorMessage="1" sqref="B17" xr:uid="{00000000-0002-0000-08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8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1</v>
      </c>
      <c r="C1" s="6" t="s">
        <v>3</v>
      </c>
      <c r="D1" s="6" t="s">
        <v>4</v>
      </c>
      <c r="E1" s="6" t="s">
        <v>7</v>
      </c>
      <c r="F1" s="6" t="s">
        <v>8</v>
      </c>
      <c r="G1" s="6" t="s">
        <v>9</v>
      </c>
    </row>
    <row r="2" spans="1:7" x14ac:dyDescent="0.35">
      <c r="A2" s="6" t="s">
        <v>10</v>
      </c>
      <c r="B2" s="7">
        <v>28000</v>
      </c>
      <c r="C2" s="7">
        <v>31000</v>
      </c>
      <c r="D2" s="7">
        <v>40000</v>
      </c>
      <c r="E2" s="7">
        <v>1000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/>
      <c r="C3" s="7"/>
      <c r="D3" s="7"/>
      <c r="E3" s="7"/>
      <c r="F3" s="8">
        <f t="shared" si="0"/>
        <v>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28000</v>
      </c>
      <c r="C12" s="8">
        <f t="shared" si="1"/>
        <v>31000</v>
      </c>
      <c r="D12" s="8">
        <f t="shared" si="1"/>
        <v>40000</v>
      </c>
      <c r="E12" s="8">
        <f>IF(COUNTA(E$1), SUM(E$2:E$11), "-")</f>
        <v>1000</v>
      </c>
      <c r="F12" s="8">
        <f t="shared" si="0"/>
        <v>100000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3000</v>
      </c>
      <c r="C13" s="8">
        <f t="shared" si="2"/>
        <v>6000</v>
      </c>
      <c r="D13" s="8">
        <f t="shared" si="2"/>
        <v>15000</v>
      </c>
      <c r="E13" s="8">
        <f>IF(COUNTA(E$1), E12-$B17*$B$21, "-")</f>
        <v>-24000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150</v>
      </c>
      <c r="C14" s="10">
        <f t="shared" si="3"/>
        <v>300</v>
      </c>
      <c r="D14" s="10">
        <f t="shared" si="3"/>
        <v>750</v>
      </c>
      <c r="E14" s="10">
        <f>IF(COUNTA(E$1), E$13*$B$18, "-")</f>
        <v>-1200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3</v>
      </c>
      <c r="C15" s="6">
        <f t="shared" si="4"/>
        <v>2</v>
      </c>
      <c r="D15" s="6">
        <f t="shared" si="4"/>
        <v>1</v>
      </c>
      <c r="E15" s="6">
        <f>IF(COUNTA(E$1), RANK(E$14, $B$14:$E$14), "-")</f>
        <v>4</v>
      </c>
      <c r="F15" s="8">
        <f t="shared" si="0"/>
        <v>10</v>
      </c>
      <c r="G15" s="6" t="s">
        <v>21</v>
      </c>
    </row>
    <row r="17" spans="1:2" x14ac:dyDescent="0.35">
      <c r="A17" s="11" t="s">
        <v>24</v>
      </c>
      <c r="B17" s="12">
        <v>25000</v>
      </c>
    </row>
    <row r="18" spans="1:2" x14ac:dyDescent="0.35">
      <c r="A18" s="11" t="s">
        <v>25</v>
      </c>
      <c r="B18" s="11">
        <v>0.05</v>
      </c>
    </row>
    <row r="20" spans="1:2" x14ac:dyDescent="0.35">
      <c r="A20" s="13" t="s">
        <v>26</v>
      </c>
      <c r="B20" s="13">
        <f>COUNTA($B$1:$E$1)</f>
        <v>4</v>
      </c>
    </row>
    <row r="21" spans="1:2" x14ac:dyDescent="0.35">
      <c r="A21" s="13" t="s">
        <v>27</v>
      </c>
      <c r="B21" s="13">
        <f>COUNT($B$2:$B$11)</f>
        <v>1</v>
      </c>
    </row>
    <row r="22" spans="1:2" x14ac:dyDescent="0.35">
      <c r="A22" s="13" t="s">
        <v>28</v>
      </c>
      <c r="B22" s="13">
        <f>$B$17*$B$20*$B$21</f>
        <v>100000</v>
      </c>
    </row>
  </sheetData>
  <phoneticPr fontId="3"/>
  <conditionalFormatting sqref="G2:G12">
    <cfRule type="notContainsText" dxfId="33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900-000000000000}">
      <formula1>"0.05,0.06,0.08,0.1,0.12,0.2"</formula1>
    </dataValidation>
    <dataValidation type="list" allowBlank="1" showErrorMessage="1" sqref="B17" xr:uid="{00000000-0002-0000-09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9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1</v>
      </c>
      <c r="C1" s="6" t="s">
        <v>7</v>
      </c>
      <c r="D1" s="6" t="s">
        <v>3</v>
      </c>
      <c r="E1" s="6"/>
      <c r="F1" s="6" t="s">
        <v>8</v>
      </c>
      <c r="G1" s="6" t="s">
        <v>9</v>
      </c>
    </row>
    <row r="2" spans="1:7" x14ac:dyDescent="0.35">
      <c r="A2" s="6" t="s">
        <v>10</v>
      </c>
      <c r="B2" s="7">
        <v>-3000</v>
      </c>
      <c r="C2" s="7">
        <v>41000</v>
      </c>
      <c r="D2" s="7">
        <v>67000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>
        <v>14000</v>
      </c>
      <c r="C3" s="7">
        <v>50000</v>
      </c>
      <c r="D3" s="7">
        <v>41000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11000</v>
      </c>
      <c r="C12" s="8">
        <f t="shared" si="1"/>
        <v>91000</v>
      </c>
      <c r="D12" s="8">
        <f t="shared" si="1"/>
        <v>108000</v>
      </c>
      <c r="E12" s="8" t="str">
        <f>IF(COUNTA(E$1), SUM(E$2:E$11), "-")</f>
        <v>-</v>
      </c>
      <c r="F12" s="8">
        <f t="shared" si="0"/>
        <v>210000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-59000</v>
      </c>
      <c r="C13" s="8">
        <f t="shared" si="2"/>
        <v>21000</v>
      </c>
      <c r="D13" s="8">
        <f t="shared" si="2"/>
        <v>38000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-2950</v>
      </c>
      <c r="C14" s="10">
        <f t="shared" si="3"/>
        <v>1050</v>
      </c>
      <c r="D14" s="10">
        <f t="shared" si="3"/>
        <v>1900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3</v>
      </c>
      <c r="C15" s="6">
        <f t="shared" si="4"/>
        <v>2</v>
      </c>
      <c r="D15" s="6">
        <f t="shared" si="4"/>
        <v>1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x14ac:dyDescent="0.35">
      <c r="A17" s="11" t="s">
        <v>24</v>
      </c>
      <c r="B17" s="12">
        <v>35000</v>
      </c>
    </row>
    <row r="18" spans="1:2" x14ac:dyDescent="0.35">
      <c r="A18" s="11" t="s">
        <v>25</v>
      </c>
      <c r="B18" s="11">
        <v>0.05</v>
      </c>
    </row>
    <row r="20" spans="1:2" x14ac:dyDescent="0.35">
      <c r="A20" s="13" t="s">
        <v>26</v>
      </c>
      <c r="B20" s="13">
        <f>COUNTA($B$1:$E$1)</f>
        <v>3</v>
      </c>
    </row>
    <row r="21" spans="1:2" x14ac:dyDescent="0.35">
      <c r="A21" s="13" t="s">
        <v>27</v>
      </c>
      <c r="B21" s="13">
        <f>COUNT($B$2:$B$11)</f>
        <v>2</v>
      </c>
    </row>
    <row r="22" spans="1:2" x14ac:dyDescent="0.35">
      <c r="A22" s="13" t="s">
        <v>28</v>
      </c>
      <c r="B22" s="13">
        <f>$B$17*$B$20*$B$21</f>
        <v>210000</v>
      </c>
    </row>
  </sheetData>
  <phoneticPr fontId="3"/>
  <conditionalFormatting sqref="G2:G12">
    <cfRule type="notContainsText" dxfId="32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A00-000000000000}">
      <formula1>"0.05,0.06,0.08,0.1,0.12,0.2"</formula1>
    </dataValidation>
    <dataValidation type="list" allowBlank="1" showErrorMessage="1" sqref="B17" xr:uid="{00000000-0002-0000-0A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A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1</v>
      </c>
      <c r="C1" s="6" t="s">
        <v>3</v>
      </c>
      <c r="D1" s="6" t="s">
        <v>4</v>
      </c>
      <c r="E1" s="6" t="s">
        <v>7</v>
      </c>
      <c r="F1" s="6" t="s">
        <v>8</v>
      </c>
      <c r="G1" s="6" t="s">
        <v>9</v>
      </c>
    </row>
    <row r="2" spans="1:7" x14ac:dyDescent="0.35">
      <c r="A2" s="6" t="s">
        <v>10</v>
      </c>
      <c r="B2" s="7">
        <v>11100</v>
      </c>
      <c r="C2" s="7">
        <v>10300</v>
      </c>
      <c r="D2" s="7">
        <v>23700</v>
      </c>
      <c r="E2" s="7">
        <v>54900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>
        <v>41900</v>
      </c>
      <c r="C3" s="7">
        <v>43000</v>
      </c>
      <c r="D3" s="7">
        <v>-5900</v>
      </c>
      <c r="E3" s="7">
        <v>21000</v>
      </c>
      <c r="F3" s="8">
        <f t="shared" si="0"/>
        <v>100000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>
        <v>15600</v>
      </c>
      <c r="C4" s="7">
        <v>29500</v>
      </c>
      <c r="D4" s="7">
        <v>21000</v>
      </c>
      <c r="E4" s="7">
        <v>33900</v>
      </c>
      <c r="F4" s="8">
        <f t="shared" si="0"/>
        <v>100000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>
        <v>7200</v>
      </c>
      <c r="C5" s="7">
        <v>57900</v>
      </c>
      <c r="D5" s="7">
        <v>18800</v>
      </c>
      <c r="E5" s="7">
        <v>16100</v>
      </c>
      <c r="F5" s="8">
        <f t="shared" si="0"/>
        <v>100000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75800</v>
      </c>
      <c r="C12" s="8">
        <f t="shared" si="1"/>
        <v>140700</v>
      </c>
      <c r="D12" s="8">
        <f t="shared" si="1"/>
        <v>57600</v>
      </c>
      <c r="E12" s="8">
        <f>IF(COUNTA(E$1), SUM(E$2:E$11), "-")</f>
        <v>125900</v>
      </c>
      <c r="F12" s="8">
        <f t="shared" si="0"/>
        <v>400000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-24200</v>
      </c>
      <c r="C13" s="8">
        <f t="shared" si="2"/>
        <v>40700</v>
      </c>
      <c r="D13" s="8">
        <f t="shared" si="2"/>
        <v>-42400</v>
      </c>
      <c r="E13" s="8">
        <f>IF(COUNTA(E$1), E12-$B17*$B$21, "-")</f>
        <v>25900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-2420</v>
      </c>
      <c r="C14" s="10">
        <f t="shared" si="3"/>
        <v>4070</v>
      </c>
      <c r="D14" s="10">
        <f t="shared" si="3"/>
        <v>-4240</v>
      </c>
      <c r="E14" s="10">
        <f>IF(COUNTA(E$1), E$13*$B$18, "-")</f>
        <v>2590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3</v>
      </c>
      <c r="C15" s="6">
        <f t="shared" si="4"/>
        <v>1</v>
      </c>
      <c r="D15" s="6">
        <f t="shared" si="4"/>
        <v>4</v>
      </c>
      <c r="E15" s="6">
        <f>IF(COUNTA(E$1), RANK(E$14, $B$14:$E$14), "-")</f>
        <v>2</v>
      </c>
      <c r="F15" s="8">
        <f t="shared" si="0"/>
        <v>10</v>
      </c>
      <c r="G15" s="6" t="s">
        <v>21</v>
      </c>
    </row>
    <row r="17" spans="1:2" x14ac:dyDescent="0.35">
      <c r="A17" s="11" t="s">
        <v>24</v>
      </c>
      <c r="B17" s="12">
        <v>25000</v>
      </c>
    </row>
    <row r="18" spans="1:2" x14ac:dyDescent="0.35">
      <c r="A18" s="11" t="s">
        <v>25</v>
      </c>
      <c r="B18" s="11">
        <v>0.1</v>
      </c>
    </row>
    <row r="20" spans="1:2" x14ac:dyDescent="0.35">
      <c r="A20" s="13" t="s">
        <v>26</v>
      </c>
      <c r="B20" s="13">
        <f>COUNTA($B$1:$E$1)</f>
        <v>4</v>
      </c>
    </row>
    <row r="21" spans="1:2" x14ac:dyDescent="0.35">
      <c r="A21" s="13" t="s">
        <v>27</v>
      </c>
      <c r="B21" s="13">
        <f>COUNT($B$2:$B$11)</f>
        <v>4</v>
      </c>
    </row>
    <row r="22" spans="1:2" x14ac:dyDescent="0.35">
      <c r="A22" s="13" t="s">
        <v>28</v>
      </c>
      <c r="B22" s="13">
        <f>$B$17*$B$20*$B$21</f>
        <v>400000</v>
      </c>
    </row>
  </sheetData>
  <phoneticPr fontId="3"/>
  <conditionalFormatting sqref="G2:G12">
    <cfRule type="notContainsText" dxfId="31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B00-000000000000}">
      <formula1>"0.05,0.06,0.08,0.1,0.12,0.2"</formula1>
    </dataValidation>
    <dataValidation type="list" allowBlank="1" showErrorMessage="1" sqref="B17" xr:uid="{00000000-0002-0000-0B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B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1</v>
      </c>
      <c r="C1" s="6" t="s">
        <v>3</v>
      </c>
      <c r="D1" s="6" t="s">
        <v>7</v>
      </c>
      <c r="E1" s="6"/>
      <c r="F1" s="6" t="s">
        <v>8</v>
      </c>
      <c r="G1" s="6" t="s">
        <v>9</v>
      </c>
    </row>
    <row r="2" spans="1:7" x14ac:dyDescent="0.35">
      <c r="A2" s="6" t="s">
        <v>10</v>
      </c>
      <c r="B2" s="7">
        <v>47000</v>
      </c>
      <c r="C2" s="7">
        <v>7000</v>
      </c>
      <c r="D2" s="7">
        <v>51000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>
        <v>-4000</v>
      </c>
      <c r="C3" s="7">
        <v>26000</v>
      </c>
      <c r="D3" s="7">
        <v>83000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>
        <v>30000</v>
      </c>
      <c r="C4" s="7">
        <v>30000</v>
      </c>
      <c r="D4" s="7">
        <v>45000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73000</v>
      </c>
      <c r="C12" s="8">
        <f t="shared" si="1"/>
        <v>63000</v>
      </c>
      <c r="D12" s="8">
        <f t="shared" si="1"/>
        <v>179000</v>
      </c>
      <c r="E12" s="8" t="str">
        <f>IF(COUNTA(E$1), SUM(E$2:E$11), "-")</f>
        <v>-</v>
      </c>
      <c r="F12" s="8">
        <f t="shared" si="0"/>
        <v>315000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-32000</v>
      </c>
      <c r="C13" s="8">
        <f t="shared" si="2"/>
        <v>-42000</v>
      </c>
      <c r="D13" s="8">
        <f t="shared" si="2"/>
        <v>74000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-1600</v>
      </c>
      <c r="C14" s="10">
        <f t="shared" si="3"/>
        <v>-2100</v>
      </c>
      <c r="D14" s="10">
        <f t="shared" si="3"/>
        <v>3700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2</v>
      </c>
      <c r="C15" s="6">
        <f t="shared" si="4"/>
        <v>3</v>
      </c>
      <c r="D15" s="6">
        <f t="shared" si="4"/>
        <v>1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x14ac:dyDescent="0.35">
      <c r="A17" s="11" t="s">
        <v>24</v>
      </c>
      <c r="B17" s="12">
        <v>35000</v>
      </c>
    </row>
    <row r="18" spans="1:2" x14ac:dyDescent="0.35">
      <c r="A18" s="11" t="s">
        <v>25</v>
      </c>
      <c r="B18" s="11">
        <v>0.05</v>
      </c>
    </row>
    <row r="20" spans="1:2" x14ac:dyDescent="0.35">
      <c r="A20" s="13" t="s">
        <v>26</v>
      </c>
      <c r="B20" s="13">
        <f>COUNTA($B$1:$E$1)</f>
        <v>3</v>
      </c>
    </row>
    <row r="21" spans="1:2" x14ac:dyDescent="0.35">
      <c r="A21" s="13" t="s">
        <v>27</v>
      </c>
      <c r="B21" s="13">
        <f>COUNT($B$2:$B$11)</f>
        <v>3</v>
      </c>
    </row>
    <row r="22" spans="1:2" x14ac:dyDescent="0.35">
      <c r="A22" s="13" t="s">
        <v>28</v>
      </c>
      <c r="B22" s="13">
        <f>$B$17*$B$20*$B$21</f>
        <v>315000</v>
      </c>
    </row>
  </sheetData>
  <phoneticPr fontId="3"/>
  <conditionalFormatting sqref="G2:G12">
    <cfRule type="notContainsText" dxfId="30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C00-000000000000}">
      <formula1>"0.05,0.06,0.08,0.1,0.12,0.2"</formula1>
    </dataValidation>
    <dataValidation type="list" allowBlank="1" showErrorMessage="1" sqref="B17" xr:uid="{00000000-0002-0000-0C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C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4</v>
      </c>
      <c r="C1" s="6" t="s">
        <v>3</v>
      </c>
      <c r="D1" s="6" t="s">
        <v>7</v>
      </c>
      <c r="E1" s="6"/>
      <c r="F1" s="6" t="s">
        <v>8</v>
      </c>
      <c r="G1" s="6" t="s">
        <v>9</v>
      </c>
    </row>
    <row r="2" spans="1:7" x14ac:dyDescent="0.35">
      <c r="A2" s="6" t="s">
        <v>10</v>
      </c>
      <c r="B2" s="7">
        <v>94000</v>
      </c>
      <c r="C2" s="7">
        <v>19000</v>
      </c>
      <c r="D2" s="7">
        <v>-8000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/>
      <c r="C3" s="7"/>
      <c r="D3" s="7"/>
      <c r="E3" s="7"/>
      <c r="F3" s="8">
        <f t="shared" si="0"/>
        <v>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/>
      <c r="C5" s="7"/>
      <c r="D5" s="7" t="s">
        <v>29</v>
      </c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94000</v>
      </c>
      <c r="C12" s="8">
        <f t="shared" si="1"/>
        <v>19000</v>
      </c>
      <c r="D12" s="8">
        <f t="shared" si="1"/>
        <v>-8000</v>
      </c>
      <c r="E12" s="8" t="str">
        <f>IF(COUNTA(E$1), SUM(E$2:E$11), "-")</f>
        <v>-</v>
      </c>
      <c r="F12" s="8">
        <f t="shared" si="0"/>
        <v>105000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59000</v>
      </c>
      <c r="C13" s="8">
        <f t="shared" si="2"/>
        <v>-16000</v>
      </c>
      <c r="D13" s="8">
        <f t="shared" si="2"/>
        <v>-43000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2950</v>
      </c>
      <c r="C14" s="10">
        <f t="shared" si="3"/>
        <v>-800</v>
      </c>
      <c r="D14" s="10">
        <f t="shared" si="3"/>
        <v>-2150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1</v>
      </c>
      <c r="C15" s="6">
        <f t="shared" si="4"/>
        <v>2</v>
      </c>
      <c r="D15" s="6">
        <f t="shared" si="4"/>
        <v>3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x14ac:dyDescent="0.35">
      <c r="A17" s="11" t="s">
        <v>24</v>
      </c>
      <c r="B17" s="12">
        <v>35000</v>
      </c>
    </row>
    <row r="18" spans="1:2" x14ac:dyDescent="0.35">
      <c r="A18" s="11" t="s">
        <v>25</v>
      </c>
      <c r="B18" s="11">
        <v>0.05</v>
      </c>
    </row>
    <row r="20" spans="1:2" x14ac:dyDescent="0.35">
      <c r="A20" s="13" t="s">
        <v>26</v>
      </c>
      <c r="B20" s="13">
        <f>COUNTA($B$1:$E$1)</f>
        <v>3</v>
      </c>
    </row>
    <row r="21" spans="1:2" x14ac:dyDescent="0.35">
      <c r="A21" s="13" t="s">
        <v>27</v>
      </c>
      <c r="B21" s="13">
        <f>COUNT($B$2:$B$11)</f>
        <v>1</v>
      </c>
    </row>
    <row r="22" spans="1:2" x14ac:dyDescent="0.35">
      <c r="A22" s="13" t="s">
        <v>28</v>
      </c>
      <c r="B22" s="13">
        <f>$B$17*$B$20*$B$21</f>
        <v>105000</v>
      </c>
    </row>
  </sheetData>
  <phoneticPr fontId="3"/>
  <conditionalFormatting sqref="G2:G12">
    <cfRule type="notContainsText" dxfId="29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D00-000000000000}">
      <formula1>"0.05,0.06,0.08,0.1,0.12,0.2"</formula1>
    </dataValidation>
    <dataValidation type="list" allowBlank="1" showErrorMessage="1" sqref="B17" xr:uid="{00000000-0002-0000-0D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D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4</v>
      </c>
      <c r="C1" s="6" t="s">
        <v>3</v>
      </c>
      <c r="D1" s="6" t="s">
        <v>7</v>
      </c>
      <c r="E1" s="6" t="s">
        <v>1</v>
      </c>
      <c r="F1" s="6" t="s">
        <v>8</v>
      </c>
      <c r="G1" s="6" t="s">
        <v>9</v>
      </c>
    </row>
    <row r="2" spans="1:7" x14ac:dyDescent="0.35">
      <c r="A2" s="6" t="s">
        <v>10</v>
      </c>
      <c r="B2" s="7">
        <v>22900</v>
      </c>
      <c r="C2" s="7">
        <v>18300</v>
      </c>
      <c r="D2" s="7">
        <v>40800</v>
      </c>
      <c r="E2" s="7">
        <v>18000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>
        <v>11300</v>
      </c>
      <c r="C3" s="7">
        <v>31800</v>
      </c>
      <c r="D3" s="7">
        <v>18300</v>
      </c>
      <c r="E3" s="7">
        <v>38600</v>
      </c>
      <c r="F3" s="8">
        <f t="shared" si="0"/>
        <v>100000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>
        <v>18500</v>
      </c>
      <c r="C4" s="7">
        <v>28800</v>
      </c>
      <c r="D4" s="7">
        <v>18200</v>
      </c>
      <c r="E4" s="7">
        <v>34500</v>
      </c>
      <c r="F4" s="8">
        <f t="shared" si="0"/>
        <v>100000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52700</v>
      </c>
      <c r="C12" s="8">
        <f t="shared" si="1"/>
        <v>78900</v>
      </c>
      <c r="D12" s="8">
        <f t="shared" si="1"/>
        <v>77300</v>
      </c>
      <c r="E12" s="8">
        <f>IF(COUNTA(E$1), SUM(E$2:E$11), "-")</f>
        <v>91100</v>
      </c>
      <c r="F12" s="8">
        <f t="shared" si="0"/>
        <v>300000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-22300</v>
      </c>
      <c r="C13" s="8">
        <f t="shared" si="2"/>
        <v>3900</v>
      </c>
      <c r="D13" s="8">
        <f t="shared" si="2"/>
        <v>2300</v>
      </c>
      <c r="E13" s="8">
        <f>IF(COUNTA(E$1), E12-$B17*$B$21, "-")</f>
        <v>16100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-2230</v>
      </c>
      <c r="C14" s="10">
        <f t="shared" si="3"/>
        <v>390</v>
      </c>
      <c r="D14" s="10">
        <f t="shared" si="3"/>
        <v>230</v>
      </c>
      <c r="E14" s="10">
        <f>IF(COUNTA(E$1), E$13*$B$18, "-")</f>
        <v>1610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4</v>
      </c>
      <c r="C15" s="6">
        <f t="shared" si="4"/>
        <v>2</v>
      </c>
      <c r="D15" s="6">
        <f t="shared" si="4"/>
        <v>3</v>
      </c>
      <c r="E15" s="6">
        <f>IF(COUNTA(E$1), RANK(E$14, $B$14:$E$14), "-")</f>
        <v>1</v>
      </c>
      <c r="F15" s="8">
        <f t="shared" si="0"/>
        <v>10</v>
      </c>
      <c r="G15" s="6" t="s">
        <v>21</v>
      </c>
    </row>
    <row r="17" spans="1:2" x14ac:dyDescent="0.35">
      <c r="A17" s="11" t="s">
        <v>24</v>
      </c>
      <c r="B17" s="12">
        <v>25000</v>
      </c>
    </row>
    <row r="18" spans="1:2" x14ac:dyDescent="0.35">
      <c r="A18" s="11" t="s">
        <v>25</v>
      </c>
      <c r="B18" s="11">
        <v>0.1</v>
      </c>
    </row>
    <row r="20" spans="1:2" x14ac:dyDescent="0.35">
      <c r="A20" s="13" t="s">
        <v>26</v>
      </c>
      <c r="B20" s="13">
        <f>COUNTA($B$1:$E$1)</f>
        <v>4</v>
      </c>
    </row>
    <row r="21" spans="1:2" x14ac:dyDescent="0.35">
      <c r="A21" s="13" t="s">
        <v>27</v>
      </c>
      <c r="B21" s="13">
        <f>COUNT($B$2:$B$11)</f>
        <v>3</v>
      </c>
    </row>
    <row r="22" spans="1:2" x14ac:dyDescent="0.35">
      <c r="A22" s="13" t="s">
        <v>28</v>
      </c>
      <c r="B22" s="13">
        <f>$B$17*$B$20*$B$21</f>
        <v>300000</v>
      </c>
    </row>
  </sheetData>
  <phoneticPr fontId="3"/>
  <conditionalFormatting sqref="G2:G12">
    <cfRule type="notContainsText" dxfId="28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E00-000000000000}">
      <formula1>"0.05,0.06,0.08,0.1,0.12,0.2"</formula1>
    </dataValidation>
    <dataValidation type="list" allowBlank="1" showErrorMessage="1" sqref="B17" xr:uid="{00000000-0002-0000-0E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E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4</v>
      </c>
      <c r="C1" s="6" t="s">
        <v>3</v>
      </c>
      <c r="D1" s="6" t="s">
        <v>7</v>
      </c>
      <c r="E1" s="6" t="s">
        <v>1</v>
      </c>
      <c r="F1" s="6" t="s">
        <v>8</v>
      </c>
      <c r="G1" s="6" t="s">
        <v>9</v>
      </c>
    </row>
    <row r="2" spans="1:7" x14ac:dyDescent="0.35">
      <c r="A2" s="6" t="s">
        <v>10</v>
      </c>
      <c r="B2" s="7">
        <v>26000</v>
      </c>
      <c r="C2" s="7">
        <v>30300</v>
      </c>
      <c r="D2" s="7">
        <v>14900</v>
      </c>
      <c r="E2" s="7">
        <v>28800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>
        <v>41700</v>
      </c>
      <c r="C3" s="7">
        <v>15800</v>
      </c>
      <c r="D3" s="7">
        <v>45000</v>
      </c>
      <c r="E3" s="7">
        <v>-2500</v>
      </c>
      <c r="F3" s="8">
        <f t="shared" si="0"/>
        <v>100000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>
        <v>-5700</v>
      </c>
      <c r="C4" s="7">
        <v>36200</v>
      </c>
      <c r="D4" s="7">
        <v>39700</v>
      </c>
      <c r="E4" s="7">
        <v>29800</v>
      </c>
      <c r="F4" s="8">
        <f t="shared" si="0"/>
        <v>100000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>
        <v>32800</v>
      </c>
      <c r="C5" s="7">
        <v>9000</v>
      </c>
      <c r="D5" s="7">
        <v>52900</v>
      </c>
      <c r="E5" s="7">
        <v>5300</v>
      </c>
      <c r="F5" s="8">
        <f t="shared" si="0"/>
        <v>100000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>
        <v>11000</v>
      </c>
      <c r="C6" s="7">
        <v>36000</v>
      </c>
      <c r="D6" s="7">
        <v>29000</v>
      </c>
      <c r="E6" s="7">
        <v>24000</v>
      </c>
      <c r="F6" s="8">
        <f t="shared" si="0"/>
        <v>100000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105800</v>
      </c>
      <c r="C12" s="8">
        <f t="shared" si="1"/>
        <v>127300</v>
      </c>
      <c r="D12" s="8">
        <f t="shared" si="1"/>
        <v>181500</v>
      </c>
      <c r="E12" s="8">
        <f>IF(COUNTA(E$1), SUM(E$2:E$11), "-")</f>
        <v>85400</v>
      </c>
      <c r="F12" s="8">
        <f t="shared" si="0"/>
        <v>500000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-19200</v>
      </c>
      <c r="C13" s="8">
        <f t="shared" si="2"/>
        <v>2300</v>
      </c>
      <c r="D13" s="8">
        <f t="shared" si="2"/>
        <v>56500</v>
      </c>
      <c r="E13" s="8">
        <f>IF(COUNTA(E$1), E12-$B17*$B$21, "-")</f>
        <v>-39600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-1920</v>
      </c>
      <c r="C14" s="10">
        <f t="shared" si="3"/>
        <v>230</v>
      </c>
      <c r="D14" s="10">
        <f t="shared" si="3"/>
        <v>5650</v>
      </c>
      <c r="E14" s="10">
        <f>IF(COUNTA(E$1), E$13*$B$18, "-")</f>
        <v>-3960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3</v>
      </c>
      <c r="C15" s="6">
        <f t="shared" si="4"/>
        <v>2</v>
      </c>
      <c r="D15" s="6">
        <f t="shared" si="4"/>
        <v>1</v>
      </c>
      <c r="E15" s="6">
        <f>IF(COUNTA(E$1), RANK(E$14, $B$14:$E$14), "-")</f>
        <v>4</v>
      </c>
      <c r="F15" s="8">
        <f t="shared" si="0"/>
        <v>10</v>
      </c>
      <c r="G15" s="6" t="s">
        <v>21</v>
      </c>
    </row>
    <row r="17" spans="1:2" x14ac:dyDescent="0.35">
      <c r="A17" s="11" t="s">
        <v>24</v>
      </c>
      <c r="B17" s="12">
        <v>25000</v>
      </c>
    </row>
    <row r="18" spans="1:2" x14ac:dyDescent="0.35">
      <c r="A18" s="11" t="s">
        <v>25</v>
      </c>
      <c r="B18" s="11">
        <v>0.1</v>
      </c>
    </row>
    <row r="20" spans="1:2" x14ac:dyDescent="0.35">
      <c r="A20" s="13" t="s">
        <v>26</v>
      </c>
      <c r="B20" s="13">
        <f>COUNTA($B$1:$E$1)</f>
        <v>4</v>
      </c>
    </row>
    <row r="21" spans="1:2" x14ac:dyDescent="0.35">
      <c r="A21" s="13" t="s">
        <v>27</v>
      </c>
      <c r="B21" s="13">
        <f>COUNT($B$2:$B$11)</f>
        <v>5</v>
      </c>
    </row>
    <row r="22" spans="1:2" x14ac:dyDescent="0.35">
      <c r="A22" s="13" t="s">
        <v>28</v>
      </c>
      <c r="B22" s="13">
        <f>$B$17*$B$20*$B$21</f>
        <v>500000</v>
      </c>
    </row>
  </sheetData>
  <phoneticPr fontId="3"/>
  <conditionalFormatting sqref="G2:G12">
    <cfRule type="notContainsText" dxfId="27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0F00-000000000000}">
      <formula1>"0.05,0.06,0.08,0.1,0.12,0.2"</formula1>
    </dataValidation>
    <dataValidation type="list" allowBlank="1" showErrorMessage="1" sqref="B17" xr:uid="{00000000-0002-0000-0F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F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23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1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44000</v>
      </c>
      <c r="C2" s="7">
        <v>51000</v>
      </c>
      <c r="D2" s="7">
        <v>10000</v>
      </c>
      <c r="E2" s="7"/>
      <c r="F2" s="8">
        <f t="shared" ref="F2:F16" si="0">SUM($B2:$E2)</f>
        <v>105000</v>
      </c>
      <c r="G2" s="9" t="e">
        <f ca="1">_xludf.IFS(COUNT($B2:$E2)=0, "", $F2&gt;$B$18*$B$21, マスタ!$A$2, $F2&lt;$B$18*$B$21, マスタ!$A$3, TRUE, "正常")</f>
        <v>#NAME?</v>
      </c>
    </row>
    <row r="3" spans="1:7" ht="12.75" x14ac:dyDescent="0.35">
      <c r="A3" s="6" t="s">
        <v>11</v>
      </c>
      <c r="B3" s="7">
        <v>39000</v>
      </c>
      <c r="C3" s="7">
        <v>67000</v>
      </c>
      <c r="D3" s="7">
        <v>-1000</v>
      </c>
      <c r="E3" s="7"/>
      <c r="F3" s="8">
        <f t="shared" si="0"/>
        <v>105000</v>
      </c>
      <c r="G3" s="9" t="e">
        <f ca="1">_xludf.IFS(COUNT($B3:$E3)=0, "", $F3&gt;$B$18*$B$21, マスタ!$A$2, $F3&lt;$B$18*$B$21, マスタ!$A$3, TRUE, "正常")</f>
        <v>#NAME?</v>
      </c>
    </row>
    <row r="4" spans="1:7" ht="12.75" x14ac:dyDescent="0.35">
      <c r="A4" s="6" t="s">
        <v>12</v>
      </c>
      <c r="B4" s="7">
        <v>29000</v>
      </c>
      <c r="C4" s="7">
        <v>40000</v>
      </c>
      <c r="D4" s="7">
        <v>36000</v>
      </c>
      <c r="E4" s="7"/>
      <c r="F4" s="8">
        <f t="shared" si="0"/>
        <v>105000</v>
      </c>
      <c r="G4" s="9" t="e">
        <f ca="1">_xludf.IFS(COUNT($B4:$E4)=0, "", $F4&gt;$B$18*$B$21, マスタ!$A$2, $F4&lt;$B$18*$B$21, マスタ!$A$3, TRUE, "正常")</f>
        <v>#NAME?</v>
      </c>
    </row>
    <row r="5" spans="1:7" ht="12.75" x14ac:dyDescent="0.35">
      <c r="A5" s="6" t="s">
        <v>13</v>
      </c>
      <c r="B5" s="7">
        <v>-3000</v>
      </c>
      <c r="C5" s="7">
        <v>48000</v>
      </c>
      <c r="D5" s="7">
        <v>60000</v>
      </c>
      <c r="E5" s="7"/>
      <c r="F5" s="8">
        <f t="shared" si="0"/>
        <v>105000</v>
      </c>
      <c r="G5" s="9" t="e">
        <f ca="1">_xludf.IFS(COUNT($B5:$E5)=0, "", $F5&gt;$B$18*$B$21, マスタ!$A$2, $F5&lt;$B$18*$B$21, マスタ!$A$3, TRUE, "正常")</f>
        <v>#NAME?</v>
      </c>
    </row>
    <row r="6" spans="1:7" ht="12.75" x14ac:dyDescent="0.35">
      <c r="A6" s="6" t="s">
        <v>14</v>
      </c>
      <c r="B6" s="7">
        <v>25000</v>
      </c>
      <c r="C6" s="7">
        <v>55000</v>
      </c>
      <c r="D6" s="7">
        <v>25000</v>
      </c>
      <c r="E6" s="7"/>
      <c r="F6" s="8">
        <f t="shared" si="0"/>
        <v>105000</v>
      </c>
      <c r="G6" s="9" t="e">
        <f ca="1">_xludf.IFS(COUNT($B6:$E6)=0, "", $F6&gt;$B$18*$B$21, マスタ!$A$2, $F6&lt;$B$18*$B$21, マスタ!$A$3, TRUE, "正常")</f>
        <v>#NAME?</v>
      </c>
    </row>
    <row r="7" spans="1:7" ht="12.75" x14ac:dyDescent="0.35">
      <c r="A7" s="6" t="s">
        <v>15</v>
      </c>
      <c r="B7" s="7">
        <v>90000</v>
      </c>
      <c r="C7" s="7">
        <v>-3000</v>
      </c>
      <c r="D7" s="7">
        <v>18000</v>
      </c>
      <c r="E7" s="7"/>
      <c r="F7" s="8">
        <f t="shared" si="0"/>
        <v>105000</v>
      </c>
      <c r="G7" s="9" t="e">
        <f ca="1">_xludf.IFS(COUNT($B7:$E7)=0, "", $F7&gt;$B$18*$B$21, マスタ!$A$2, $F7&lt;$B$18*$B$21, マスタ!$A$3, TRUE, "正常")</f>
        <v>#NAME?</v>
      </c>
    </row>
    <row r="8" spans="1:7" ht="12.75" x14ac:dyDescent="0.35">
      <c r="A8" s="6" t="s">
        <v>16</v>
      </c>
      <c r="B8" s="7">
        <v>42000</v>
      </c>
      <c r="C8" s="7">
        <v>43000</v>
      </c>
      <c r="D8" s="7">
        <v>20000</v>
      </c>
      <c r="E8" s="7"/>
      <c r="F8" s="8">
        <f t="shared" si="0"/>
        <v>105000</v>
      </c>
      <c r="G8" s="9" t="e">
        <f ca="1">_xludf.IFS(COUNT($B8:$E8)=0, "", $F8&gt;$B$18*$B$21, マスタ!$A$2, $F8&lt;$B$18*$B$21, マスタ!$A$3, TRUE, "正常")</f>
        <v>#NAME?</v>
      </c>
    </row>
    <row r="9" spans="1:7" ht="12.75" x14ac:dyDescent="0.35">
      <c r="A9" s="6" t="s">
        <v>17</v>
      </c>
      <c r="B9" s="7">
        <v>-1000</v>
      </c>
      <c r="C9" s="7">
        <v>55000</v>
      </c>
      <c r="D9" s="7">
        <v>51000</v>
      </c>
      <c r="E9" s="7"/>
      <c r="F9" s="8">
        <f t="shared" si="0"/>
        <v>105000</v>
      </c>
      <c r="G9" s="9" t="e">
        <f ca="1">_xludf.IFS(COUNT($B9:$E9)=0, "", $F9&gt;$B$18*$B$21, マスタ!$A$2, $F9&lt;$B$18*$B$21, マスタ!$A$3, TRUE, "正常")</f>
        <v>#NAME?</v>
      </c>
    </row>
    <row r="10" spans="1:7" ht="12.75" x14ac:dyDescent="0.35">
      <c r="A10" s="6" t="s">
        <v>18</v>
      </c>
      <c r="B10" s="7">
        <v>67000</v>
      </c>
      <c r="C10" s="7">
        <v>27000</v>
      </c>
      <c r="D10" s="7">
        <v>11000</v>
      </c>
      <c r="E10" s="7"/>
      <c r="F10" s="8">
        <f t="shared" si="0"/>
        <v>105000</v>
      </c>
      <c r="G10" s="9" t="e">
        <f ca="1">_xludf.IFS(COUNT($B10:$E10)=0, "", $F10&gt;$B$18*$B$21, マスタ!$A$2, $F10&lt;$B$18*$B$21, マスタ!$A$3, TRUE, "正常")</f>
        <v>#NAME?</v>
      </c>
    </row>
    <row r="11" spans="1:7" ht="16.5" customHeight="1" x14ac:dyDescent="0.35">
      <c r="A11" s="6" t="s">
        <v>19</v>
      </c>
      <c r="B11" s="7">
        <v>55000</v>
      </c>
      <c r="C11" s="7">
        <v>-10000</v>
      </c>
      <c r="D11" s="7">
        <v>60000</v>
      </c>
      <c r="E11" s="7"/>
      <c r="F11" s="8">
        <f t="shared" si="0"/>
        <v>105000</v>
      </c>
      <c r="G11" s="9" t="e">
        <f ca="1">_xludf.IFS(COUNT($B11:$E11)=0, "", $F11&gt;$B$18*$B$21, マスタ!$A$2, $F11&lt;$B$18*$B$21, マスタ!$A$3, TRUE, "正常")</f>
        <v>#NAME?</v>
      </c>
    </row>
    <row r="12" spans="1:7" ht="16.5" customHeight="1" x14ac:dyDescent="0.35">
      <c r="A12" s="6" t="s">
        <v>30</v>
      </c>
      <c r="B12" s="7"/>
      <c r="C12" s="7"/>
      <c r="D12" s="7"/>
      <c r="E12" s="7"/>
      <c r="F12" s="8">
        <f t="shared" si="0"/>
        <v>0</v>
      </c>
      <c r="G12" s="9" t="e">
        <f ca="1">_xludf.IFS(COUNT($B12:$E12)=0, "", $F12&gt;$B$18*$B$21, マスタ!$A$2, $F12&lt;$B$18*$B$21, マスタ!$A$3, TRUE, "正常")</f>
        <v>#NAME?</v>
      </c>
    </row>
    <row r="13" spans="1:7" ht="12.75" x14ac:dyDescent="0.35">
      <c r="A13" s="6" t="s">
        <v>8</v>
      </c>
      <c r="B13" s="8">
        <f t="shared" ref="B13:D13" si="1">SUM(B$2:B$11)</f>
        <v>387000</v>
      </c>
      <c r="C13" s="8">
        <f t="shared" si="1"/>
        <v>373000</v>
      </c>
      <c r="D13" s="8">
        <f t="shared" si="1"/>
        <v>290000</v>
      </c>
      <c r="E13" s="8" t="str">
        <f>IF(COUNTA(E$1), SUM(E$2:E$11), "-")</f>
        <v>-</v>
      </c>
      <c r="F13" s="8">
        <f t="shared" si="0"/>
        <v>1050000</v>
      </c>
      <c r="G13" s="9" t="e">
        <f ca="1">_xludf.IFS($F$13&gt;$B$18*$B$21*$B$22, マスタ!$A$2, $F$13&lt;$B$18*$B$21*$B$22, マスタ!$A$3, TRUE, "正常")</f>
        <v>#NAME?</v>
      </c>
    </row>
    <row r="14" spans="1:7" ht="12.75" x14ac:dyDescent="0.35">
      <c r="A14" s="6" t="s">
        <v>20</v>
      </c>
      <c r="B14" s="8">
        <f t="shared" ref="B14:D14" si="2">B13-$B18*$B$22</f>
        <v>37000</v>
      </c>
      <c r="C14" s="8">
        <f t="shared" si="2"/>
        <v>23000</v>
      </c>
      <c r="D14" s="8">
        <f t="shared" si="2"/>
        <v>-60000</v>
      </c>
      <c r="E14" s="6" t="str">
        <f>IF(COUNTA(E$1), E13-$B18*$B$22, "-")</f>
        <v>-</v>
      </c>
      <c r="F14" s="8">
        <f t="shared" si="0"/>
        <v>0</v>
      </c>
      <c r="G14" s="6" t="s">
        <v>21</v>
      </c>
    </row>
    <row r="15" spans="1:7" ht="12.75" x14ac:dyDescent="0.35">
      <c r="A15" s="10" t="s">
        <v>22</v>
      </c>
      <c r="B15" s="10">
        <f t="shared" ref="B15:D15" si="3">B$14*$B$19</f>
        <v>1850</v>
      </c>
      <c r="C15" s="10">
        <f t="shared" si="3"/>
        <v>1150</v>
      </c>
      <c r="D15" s="10">
        <f t="shared" si="3"/>
        <v>-3000</v>
      </c>
      <c r="E15" s="10" t="str">
        <f>IF(COUNTA(E$1), E$14*$B$19, "-")</f>
        <v>-</v>
      </c>
      <c r="F15" s="8">
        <f t="shared" si="0"/>
        <v>0</v>
      </c>
      <c r="G15" s="10" t="s">
        <v>21</v>
      </c>
    </row>
    <row r="16" spans="1:7" ht="12.75" x14ac:dyDescent="0.35">
      <c r="A16" s="6" t="s">
        <v>23</v>
      </c>
      <c r="B16" s="6">
        <f t="shared" ref="B16:D16" si="4">RANK(B$15, $B$15:$E$15)</f>
        <v>1</v>
      </c>
      <c r="C16" s="6">
        <f t="shared" si="4"/>
        <v>2</v>
      </c>
      <c r="D16" s="6">
        <f t="shared" si="4"/>
        <v>3</v>
      </c>
      <c r="E16" s="6" t="str">
        <f>IF(COUNTA(E$1), RANK(E$15, $B$15:$E$15), "-")</f>
        <v>-</v>
      </c>
      <c r="F16" s="8">
        <f t="shared" si="0"/>
        <v>6</v>
      </c>
      <c r="G16" s="6" t="s">
        <v>21</v>
      </c>
    </row>
    <row r="18" spans="1:2" ht="12.75" x14ac:dyDescent="0.35">
      <c r="A18" s="11" t="s">
        <v>24</v>
      </c>
      <c r="B18" s="12">
        <v>35000</v>
      </c>
    </row>
    <row r="19" spans="1:2" ht="12.75" x14ac:dyDescent="0.35">
      <c r="A19" s="11" t="s">
        <v>25</v>
      </c>
      <c r="B19" s="11">
        <v>0.05</v>
      </c>
    </row>
    <row r="21" spans="1:2" ht="12.75" x14ac:dyDescent="0.35">
      <c r="A21" s="13" t="s">
        <v>26</v>
      </c>
      <c r="B21" s="13">
        <f>COUNTA($B$1:$E$1)</f>
        <v>3</v>
      </c>
    </row>
    <row r="22" spans="1:2" ht="12.75" x14ac:dyDescent="0.35">
      <c r="A22" s="13" t="s">
        <v>27</v>
      </c>
      <c r="B22" s="13">
        <f>COUNT($B$2:$B$11)</f>
        <v>10</v>
      </c>
    </row>
    <row r="23" spans="1:2" ht="12.75" x14ac:dyDescent="0.35">
      <c r="A23" s="13" t="s">
        <v>28</v>
      </c>
      <c r="B23" s="13">
        <f>$B$18*$B$21*$B$22</f>
        <v>1050000</v>
      </c>
    </row>
  </sheetData>
  <phoneticPr fontId="3"/>
  <conditionalFormatting sqref="G2:G13">
    <cfRule type="notContainsText" dxfId="26" priority="1" operator="notContains" text="正常">
      <formula>ISERROR(SEARCH(("正常"),(G2)))</formula>
    </cfRule>
  </conditionalFormatting>
  <dataValidations count="2">
    <dataValidation type="list" allowBlank="1" showErrorMessage="1" sqref="B19" xr:uid="{00000000-0002-0000-1000-000000000000}">
      <formula1>"0.05,0.06,0.08,0.1,0.12,0.2"</formula1>
    </dataValidation>
    <dataValidation type="list" allowBlank="1" showErrorMessage="1" sqref="B18" xr:uid="{00000000-0002-0000-10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0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1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-5000</v>
      </c>
      <c r="C2" s="7">
        <v>3000</v>
      </c>
      <c r="D2" s="7">
        <v>107000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24000</v>
      </c>
      <c r="C3" s="7">
        <v>38000</v>
      </c>
      <c r="D3" s="7">
        <v>43000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2.75" x14ac:dyDescent="0.35">
      <c r="A12" s="6" t="s">
        <v>8</v>
      </c>
      <c r="B12" s="8">
        <f t="shared" ref="B12:D12" si="1">SUM(B$2:B$11)</f>
        <v>19000</v>
      </c>
      <c r="C12" s="8">
        <f t="shared" si="1"/>
        <v>41000</v>
      </c>
      <c r="D12" s="8">
        <f t="shared" si="1"/>
        <v>150000</v>
      </c>
      <c r="E12" s="8" t="str">
        <f>IF(COUNTA(E$1), SUM(E$2:E$11), "-")</f>
        <v>-</v>
      </c>
      <c r="F12" s="8">
        <f t="shared" si="0"/>
        <v>210000</v>
      </c>
      <c r="G12" s="9" t="e">
        <f ca="1">_xludf.IFS($F$12&gt;$B$17*$B$20*$B$21, マスタ!$A$2, $F$12&lt;$B$17*$B$20*$B$21, マスタ!$A$3, TRUE, "正常")</f>
        <v>#NAME?</v>
      </c>
    </row>
    <row r="13" spans="1:7" ht="12.75" x14ac:dyDescent="0.35">
      <c r="A13" s="6" t="s">
        <v>20</v>
      </c>
      <c r="B13" s="8">
        <f t="shared" ref="B13:D13" si="2">B12-$B17*$B$21</f>
        <v>-51000</v>
      </c>
      <c r="C13" s="8">
        <f t="shared" si="2"/>
        <v>-29000</v>
      </c>
      <c r="D13" s="8">
        <f t="shared" si="2"/>
        <v>80000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2.75" x14ac:dyDescent="0.35">
      <c r="A14" s="10" t="s">
        <v>22</v>
      </c>
      <c r="B14" s="10">
        <f t="shared" ref="B14:D14" si="3">B$13*$B$18</f>
        <v>-2550</v>
      </c>
      <c r="C14" s="10">
        <f t="shared" si="3"/>
        <v>-1450</v>
      </c>
      <c r="D14" s="10">
        <f t="shared" si="3"/>
        <v>4000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2.75" x14ac:dyDescent="0.35">
      <c r="A15" s="6" t="s">
        <v>23</v>
      </c>
      <c r="B15" s="6">
        <f t="shared" ref="B15:D15" si="4">RANK(B$14, $B$14:$E$14)</f>
        <v>3</v>
      </c>
      <c r="C15" s="6">
        <f t="shared" si="4"/>
        <v>2</v>
      </c>
      <c r="D15" s="6">
        <f t="shared" si="4"/>
        <v>1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2</v>
      </c>
    </row>
    <row r="22" spans="1:2" ht="12.75" x14ac:dyDescent="0.35">
      <c r="A22" s="13" t="s">
        <v>28</v>
      </c>
      <c r="B22" s="13">
        <f>$B$17*$B$20*$B$21</f>
        <v>210000</v>
      </c>
    </row>
  </sheetData>
  <phoneticPr fontId="3"/>
  <conditionalFormatting sqref="G2:G12">
    <cfRule type="notContainsText" dxfId="25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1100-000000000000}">
      <formula1>"0.05,0.06,0.08,0.1,0.12,0.2"</formula1>
    </dataValidation>
    <dataValidation type="list" allowBlank="1" showErrorMessage="1" sqref="B17" xr:uid="{00000000-0002-0000-11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1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2</v>
      </c>
      <c r="C1" s="6" t="s">
        <v>3</v>
      </c>
      <c r="D1" s="6" t="s">
        <v>1</v>
      </c>
      <c r="E1" s="6" t="s">
        <v>7</v>
      </c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21900</v>
      </c>
      <c r="C2" s="7">
        <v>66400</v>
      </c>
      <c r="D2" s="7">
        <v>-5300</v>
      </c>
      <c r="E2" s="7">
        <v>17000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22100</v>
      </c>
      <c r="C3" s="7">
        <v>17800</v>
      </c>
      <c r="D3" s="7">
        <v>39100</v>
      </c>
      <c r="E3" s="7">
        <v>21000</v>
      </c>
      <c r="F3" s="8">
        <f t="shared" si="0"/>
        <v>100000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23400</v>
      </c>
      <c r="C4" s="7">
        <v>22000</v>
      </c>
      <c r="D4" s="7">
        <v>33600</v>
      </c>
      <c r="E4" s="7">
        <v>21000</v>
      </c>
      <c r="F4" s="8">
        <f t="shared" si="0"/>
        <v>100000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2.75" x14ac:dyDescent="0.35">
      <c r="A12" s="6" t="s">
        <v>8</v>
      </c>
      <c r="B12" s="8">
        <f t="shared" ref="B12:D12" si="1">SUM(B$2:B$11)</f>
        <v>67400</v>
      </c>
      <c r="C12" s="8">
        <f t="shared" si="1"/>
        <v>106200</v>
      </c>
      <c r="D12" s="8">
        <f t="shared" si="1"/>
        <v>67400</v>
      </c>
      <c r="E12" s="8">
        <f>IF(COUNTA(E$1), SUM(E$2:E$11), "-")</f>
        <v>59000</v>
      </c>
      <c r="F12" s="8">
        <f t="shared" si="0"/>
        <v>300000</v>
      </c>
      <c r="G12" s="9" t="e">
        <f ca="1">_xludf.IFS($F$12&gt;$B$17*$B$20*$B$21, マスタ!$A$2, $F$12&lt;$B$17*$B$20*$B$21, マスタ!$A$3, TRUE, "正常")</f>
        <v>#NAME?</v>
      </c>
    </row>
    <row r="13" spans="1:7" ht="12.75" x14ac:dyDescent="0.35">
      <c r="A13" s="6" t="s">
        <v>20</v>
      </c>
      <c r="B13" s="8">
        <f t="shared" ref="B13:D13" si="2">B12-$B17*$B$21</f>
        <v>-7600</v>
      </c>
      <c r="C13" s="8">
        <f t="shared" si="2"/>
        <v>31200</v>
      </c>
      <c r="D13" s="8">
        <f t="shared" si="2"/>
        <v>-7600</v>
      </c>
      <c r="E13" s="8">
        <f>IF(COUNTA(E$1), E12-$B17*$B$21, "-")</f>
        <v>-16000</v>
      </c>
      <c r="F13" s="8">
        <f t="shared" si="0"/>
        <v>0</v>
      </c>
      <c r="G13" s="6" t="s">
        <v>21</v>
      </c>
    </row>
    <row r="14" spans="1:7" ht="12.75" x14ac:dyDescent="0.35">
      <c r="A14" s="10" t="s">
        <v>22</v>
      </c>
      <c r="B14" s="10">
        <f t="shared" ref="B14:D14" si="3">B$13*$B$18</f>
        <v>-760</v>
      </c>
      <c r="C14" s="10">
        <f t="shared" si="3"/>
        <v>3120</v>
      </c>
      <c r="D14" s="10">
        <f t="shared" si="3"/>
        <v>-760</v>
      </c>
      <c r="E14" s="10">
        <f>IF(COUNTA(E$1), E$13*$B$18, "-")</f>
        <v>-1600</v>
      </c>
      <c r="F14" s="8">
        <f t="shared" si="0"/>
        <v>0</v>
      </c>
      <c r="G14" s="10" t="s">
        <v>21</v>
      </c>
    </row>
    <row r="15" spans="1:7" ht="12.75" x14ac:dyDescent="0.35">
      <c r="A15" s="6" t="s">
        <v>23</v>
      </c>
      <c r="B15" s="6">
        <f t="shared" ref="B15:D15" si="4">RANK(B$14, $B$14:$E$14)</f>
        <v>2</v>
      </c>
      <c r="C15" s="6">
        <f t="shared" si="4"/>
        <v>1</v>
      </c>
      <c r="D15" s="6">
        <f t="shared" si="4"/>
        <v>2</v>
      </c>
      <c r="E15" s="6">
        <f>IF(COUNTA(E$1), RANK(E$14, $B$14:$E$14), "-")</f>
        <v>4</v>
      </c>
      <c r="F15" s="8">
        <f t="shared" si="0"/>
        <v>9</v>
      </c>
      <c r="G15" s="6" t="s">
        <v>21</v>
      </c>
    </row>
    <row r="17" spans="1:2" ht="12.75" x14ac:dyDescent="0.35">
      <c r="A17" s="11" t="s">
        <v>24</v>
      </c>
      <c r="B17" s="12">
        <v>25000</v>
      </c>
    </row>
    <row r="18" spans="1:2" ht="12.75" x14ac:dyDescent="0.35">
      <c r="A18" s="11" t="s">
        <v>25</v>
      </c>
      <c r="B18" s="11">
        <v>0.1</v>
      </c>
    </row>
    <row r="20" spans="1:2" ht="12.75" x14ac:dyDescent="0.35">
      <c r="A20" s="13" t="s">
        <v>26</v>
      </c>
      <c r="B20" s="13">
        <f>COUNTA($B$1:$E$1)</f>
        <v>4</v>
      </c>
    </row>
    <row r="21" spans="1:2" ht="12.75" x14ac:dyDescent="0.35">
      <c r="A21" s="13" t="s">
        <v>27</v>
      </c>
      <c r="B21" s="13">
        <f>COUNT($B$2:$B$11)</f>
        <v>3</v>
      </c>
    </row>
    <row r="22" spans="1:2" ht="12.75" x14ac:dyDescent="0.35">
      <c r="A22" s="13" t="s">
        <v>28</v>
      </c>
      <c r="B22" s="13">
        <f>$B$17*$B$20*$B$21</f>
        <v>300000</v>
      </c>
    </row>
  </sheetData>
  <phoneticPr fontId="3"/>
  <conditionalFormatting sqref="G2:G12">
    <cfRule type="notContainsText" dxfId="24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1200-000000000000}">
      <formula1>"0.05,0.06,0.08,0.1,0.12,0.2"</formula1>
    </dataValidation>
    <dataValidation type="list" allowBlank="1" showErrorMessage="1" sqref="B17" xr:uid="{00000000-0002-0000-12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2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7</v>
      </c>
      <c r="C1" s="6" t="s">
        <v>3</v>
      </c>
      <c r="D1" s="6" t="s">
        <v>1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42000</v>
      </c>
      <c r="C2" s="7">
        <v>70000</v>
      </c>
      <c r="D2" s="7">
        <v>-7000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11000</v>
      </c>
      <c r="C3" s="7">
        <v>87000</v>
      </c>
      <c r="D3" s="7">
        <v>7000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6000</v>
      </c>
      <c r="C4" s="7">
        <v>75000</v>
      </c>
      <c r="D4" s="7">
        <v>24000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>
        <v>41000</v>
      </c>
      <c r="C5" s="7">
        <v>67000</v>
      </c>
      <c r="D5" s="7">
        <v>-3000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>
        <v>77000</v>
      </c>
      <c r="C6" s="7">
        <v>-3000</v>
      </c>
      <c r="D6" s="7">
        <v>31000</v>
      </c>
      <c r="E6" s="7"/>
      <c r="F6" s="8">
        <f t="shared" si="0"/>
        <v>105000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>
        <v>27000</v>
      </c>
      <c r="C7" s="7">
        <v>11000</v>
      </c>
      <c r="D7" s="7">
        <v>67000</v>
      </c>
      <c r="E7" s="7"/>
      <c r="F7" s="8">
        <f t="shared" si="0"/>
        <v>105000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>
        <v>88000</v>
      </c>
      <c r="C8" s="7">
        <v>9000</v>
      </c>
      <c r="D8" s="7">
        <v>8000</v>
      </c>
      <c r="E8" s="7"/>
      <c r="F8" s="8">
        <f t="shared" si="0"/>
        <v>105000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2.75" x14ac:dyDescent="0.35">
      <c r="A12" s="6" t="s">
        <v>8</v>
      </c>
      <c r="B12" s="8">
        <f t="shared" ref="B12:D12" si="1">SUM(B$2:B$11)</f>
        <v>292000</v>
      </c>
      <c r="C12" s="8">
        <f t="shared" si="1"/>
        <v>316000</v>
      </c>
      <c r="D12" s="8">
        <f t="shared" si="1"/>
        <v>127000</v>
      </c>
      <c r="E12" s="8" t="str">
        <f>IF(COUNTA(E$1), SUM(E$2:E$11), "-")</f>
        <v>-</v>
      </c>
      <c r="F12" s="8">
        <f t="shared" si="0"/>
        <v>735000</v>
      </c>
      <c r="G12" s="9" t="e">
        <f ca="1">_xludf.IFS($F$12&gt;$B$17*$B$20*$B$21, マスタ!$A$2, $F$12&lt;$B$17*$B$20*$B$21, マスタ!$A$3, TRUE, "正常")</f>
        <v>#NAME?</v>
      </c>
    </row>
    <row r="13" spans="1:7" ht="12.75" x14ac:dyDescent="0.35">
      <c r="A13" s="6" t="s">
        <v>20</v>
      </c>
      <c r="B13" s="8">
        <f t="shared" ref="B13:D13" si="2">B12-$B17*$B$21</f>
        <v>47000</v>
      </c>
      <c r="C13" s="8">
        <f t="shared" si="2"/>
        <v>71000</v>
      </c>
      <c r="D13" s="8">
        <f t="shared" si="2"/>
        <v>-118000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2.75" x14ac:dyDescent="0.35">
      <c r="A14" s="10" t="s">
        <v>22</v>
      </c>
      <c r="B14" s="10">
        <f t="shared" ref="B14:D14" si="3">B$13*$B$18</f>
        <v>2350</v>
      </c>
      <c r="C14" s="10">
        <f t="shared" si="3"/>
        <v>3550</v>
      </c>
      <c r="D14" s="10">
        <f t="shared" si="3"/>
        <v>-5900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2.75" x14ac:dyDescent="0.35">
      <c r="A15" s="6" t="s">
        <v>23</v>
      </c>
      <c r="B15" s="6">
        <f t="shared" ref="B15:D15" si="4">RANK(B$14, $B$14:$E$14)</f>
        <v>2</v>
      </c>
      <c r="C15" s="6">
        <f t="shared" si="4"/>
        <v>1</v>
      </c>
      <c r="D15" s="6">
        <f t="shared" si="4"/>
        <v>3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7</v>
      </c>
    </row>
    <row r="22" spans="1:2" ht="12.75" x14ac:dyDescent="0.35">
      <c r="A22" s="13" t="s">
        <v>28</v>
      </c>
      <c r="B22" s="13">
        <f>$B$17*$B$20*$B$21</f>
        <v>735000</v>
      </c>
    </row>
  </sheetData>
  <phoneticPr fontId="3"/>
  <conditionalFormatting sqref="G2:G12">
    <cfRule type="notContainsText" dxfId="23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1300-000000000000}">
      <formula1>"0.05,0.06,0.08,0.1,0.12,0.2"</formula1>
    </dataValidation>
    <dataValidation type="list" allowBlank="1" showErrorMessage="1" sqref="B17" xr:uid="{00000000-0002-0000-13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3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7</v>
      </c>
      <c r="C1" s="6" t="s">
        <v>3</v>
      </c>
      <c r="D1" s="6" t="s">
        <v>1</v>
      </c>
      <c r="E1" s="6" t="s">
        <v>4</v>
      </c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26500</v>
      </c>
      <c r="C2" s="7">
        <v>34800</v>
      </c>
      <c r="D2" s="7">
        <v>-3500</v>
      </c>
      <c r="E2" s="7">
        <v>42200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16500</v>
      </c>
      <c r="C3" s="7">
        <v>48000</v>
      </c>
      <c r="D3" s="7">
        <v>9500</v>
      </c>
      <c r="E3" s="7">
        <v>26000</v>
      </c>
      <c r="F3" s="8">
        <f t="shared" si="0"/>
        <v>100000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2.75" x14ac:dyDescent="0.35">
      <c r="A12" s="6" t="s">
        <v>8</v>
      </c>
      <c r="B12" s="8">
        <f t="shared" ref="B12:D12" si="1">SUM(B$2:B$11)</f>
        <v>43000</v>
      </c>
      <c r="C12" s="8">
        <f t="shared" si="1"/>
        <v>82800</v>
      </c>
      <c r="D12" s="8">
        <f t="shared" si="1"/>
        <v>6000</v>
      </c>
      <c r="E12" s="8">
        <f>IF(COUNTA(E$1), SUM(E$2:E$11), "-")</f>
        <v>68200</v>
      </c>
      <c r="F12" s="8">
        <f t="shared" si="0"/>
        <v>200000</v>
      </c>
      <c r="G12" s="9" t="e">
        <f ca="1">_xludf.IFS($F$12&gt;$B$17*$B$20*$B$21, マスタ!$A$2, $F$12&lt;$B$17*$B$20*$B$21, マスタ!$A$3, TRUE, "正常")</f>
        <v>#NAME?</v>
      </c>
    </row>
    <row r="13" spans="1:7" ht="12.75" x14ac:dyDescent="0.35">
      <c r="A13" s="6" t="s">
        <v>20</v>
      </c>
      <c r="B13" s="8">
        <f t="shared" ref="B13:D13" si="2">B12-$B17*$B$21</f>
        <v>-7000</v>
      </c>
      <c r="C13" s="8">
        <f t="shared" si="2"/>
        <v>32800</v>
      </c>
      <c r="D13" s="8">
        <f t="shared" si="2"/>
        <v>-44000</v>
      </c>
      <c r="E13" s="8">
        <f>IF(COUNTA(E$1), E12-$B17*$B$21, "-")</f>
        <v>18200</v>
      </c>
      <c r="F13" s="8">
        <f t="shared" si="0"/>
        <v>0</v>
      </c>
      <c r="G13" s="6" t="s">
        <v>21</v>
      </c>
    </row>
    <row r="14" spans="1:7" ht="12.75" x14ac:dyDescent="0.35">
      <c r="A14" s="10" t="s">
        <v>22</v>
      </c>
      <c r="B14" s="10">
        <f t="shared" ref="B14:D14" si="3">B$13*$B$18</f>
        <v>-700</v>
      </c>
      <c r="C14" s="10">
        <f t="shared" si="3"/>
        <v>3280</v>
      </c>
      <c r="D14" s="10">
        <f t="shared" si="3"/>
        <v>-4400</v>
      </c>
      <c r="E14" s="10">
        <f>IF(COUNTA(E$1), E$13*$B$18, "-")</f>
        <v>1820</v>
      </c>
      <c r="F14" s="8">
        <f t="shared" si="0"/>
        <v>0</v>
      </c>
      <c r="G14" s="10" t="s">
        <v>21</v>
      </c>
    </row>
    <row r="15" spans="1:7" ht="12.75" x14ac:dyDescent="0.35">
      <c r="A15" s="6" t="s">
        <v>23</v>
      </c>
      <c r="B15" s="6">
        <f t="shared" ref="B15:D15" si="4">RANK(B$14, $B$14:$E$14)</f>
        <v>3</v>
      </c>
      <c r="C15" s="6">
        <f t="shared" si="4"/>
        <v>1</v>
      </c>
      <c r="D15" s="6">
        <f t="shared" si="4"/>
        <v>4</v>
      </c>
      <c r="E15" s="6">
        <f>IF(COUNTA(E$1), RANK(E$14, $B$14:$E$14), "-")</f>
        <v>2</v>
      </c>
      <c r="F15" s="8">
        <f t="shared" si="0"/>
        <v>10</v>
      </c>
      <c r="G15" s="6" t="s">
        <v>21</v>
      </c>
    </row>
    <row r="17" spans="1:2" ht="12.75" x14ac:dyDescent="0.35">
      <c r="A17" s="11" t="s">
        <v>24</v>
      </c>
      <c r="B17" s="12">
        <v>25000</v>
      </c>
    </row>
    <row r="18" spans="1:2" ht="12.75" x14ac:dyDescent="0.35">
      <c r="A18" s="11" t="s">
        <v>25</v>
      </c>
      <c r="B18" s="11">
        <v>0.1</v>
      </c>
    </row>
    <row r="20" spans="1:2" ht="12.75" x14ac:dyDescent="0.35">
      <c r="A20" s="13" t="s">
        <v>26</v>
      </c>
      <c r="B20" s="13">
        <f>COUNTA($B$1:$E$1)</f>
        <v>4</v>
      </c>
    </row>
    <row r="21" spans="1:2" ht="12.75" x14ac:dyDescent="0.35">
      <c r="A21" s="13" t="s">
        <v>27</v>
      </c>
      <c r="B21" s="13">
        <f>COUNT($B$2:$B$11)</f>
        <v>2</v>
      </c>
    </row>
    <row r="22" spans="1:2" ht="12.75" x14ac:dyDescent="0.35">
      <c r="A22" s="13" t="s">
        <v>28</v>
      </c>
      <c r="B22" s="13">
        <f>$B$17*$B$20*$B$21</f>
        <v>200000</v>
      </c>
    </row>
  </sheetData>
  <phoneticPr fontId="3"/>
  <conditionalFormatting sqref="G2:G12">
    <cfRule type="notContainsText" dxfId="22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1400-000000000000}">
      <formula1>"0.05,0.06,0.08,0.1,0.12,0.2"</formula1>
    </dataValidation>
    <dataValidation type="list" allowBlank="1" showErrorMessage="1" sqref="B17" xr:uid="{00000000-0002-0000-14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4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G22"/>
  <sheetViews>
    <sheetView workbookViewId="0">
      <selection activeCell="E5" sqref="E5"/>
    </sheetView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14" t="s">
        <v>39</v>
      </c>
      <c r="C1" s="14" t="s">
        <v>40</v>
      </c>
      <c r="D1" s="14" t="s">
        <v>41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71000</v>
      </c>
      <c r="C2" s="7">
        <v>21000</v>
      </c>
      <c r="D2" s="7">
        <v>13000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74000</v>
      </c>
      <c r="C3" s="7">
        <v>-4000</v>
      </c>
      <c r="D3" s="7">
        <v>35000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41000</v>
      </c>
      <c r="C4" s="7">
        <v>61000</v>
      </c>
      <c r="D4" s="7">
        <v>3000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>
        <v>58000</v>
      </c>
      <c r="C5" s="7">
        <v>62000</v>
      </c>
      <c r="D5" s="7">
        <v>-15000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>
        <v>34000</v>
      </c>
      <c r="C6" s="7">
        <v>54000</v>
      </c>
      <c r="D6" s="7">
        <v>17000</v>
      </c>
      <c r="E6" s="7"/>
      <c r="F6" s="8">
        <f t="shared" si="0"/>
        <v>105000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2.75" x14ac:dyDescent="0.35">
      <c r="A12" s="6" t="s">
        <v>8</v>
      </c>
      <c r="B12" s="8">
        <f t="shared" ref="B12:D12" si="1">SUM(B$2:B$11)</f>
        <v>278000</v>
      </c>
      <c r="C12" s="8">
        <f t="shared" si="1"/>
        <v>194000</v>
      </c>
      <c r="D12" s="8">
        <f t="shared" si="1"/>
        <v>53000</v>
      </c>
      <c r="E12" s="8" t="str">
        <f>IF(COUNTA(E$1), SUM(E$2:E$11), "-")</f>
        <v>-</v>
      </c>
      <c r="F12" s="8">
        <f t="shared" si="0"/>
        <v>525000</v>
      </c>
      <c r="G12" s="9" t="e">
        <f ca="1">_xludf.IFS($F$12&gt;$B$17*$B$20*$B$21, マスタ!$A$2, $F$12&lt;$B$17*$B$20*$B$21, マスタ!$A$3, TRUE, "正常")</f>
        <v>#NAME?</v>
      </c>
    </row>
    <row r="13" spans="1:7" ht="12.75" x14ac:dyDescent="0.35">
      <c r="A13" s="6" t="s">
        <v>20</v>
      </c>
      <c r="B13" s="8">
        <f t="shared" ref="B13:D13" si="2">B12-$B17*$B$21</f>
        <v>103000</v>
      </c>
      <c r="C13" s="8">
        <f t="shared" si="2"/>
        <v>19000</v>
      </c>
      <c r="D13" s="8">
        <f t="shared" si="2"/>
        <v>-122000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2.75" x14ac:dyDescent="0.35">
      <c r="A14" s="10" t="s">
        <v>22</v>
      </c>
      <c r="B14" s="10">
        <f t="shared" ref="B14:D14" si="3">B$13*$B$18</f>
        <v>5150</v>
      </c>
      <c r="C14" s="10">
        <f t="shared" si="3"/>
        <v>950</v>
      </c>
      <c r="D14" s="10">
        <f t="shared" si="3"/>
        <v>-6100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2.75" x14ac:dyDescent="0.35">
      <c r="A15" s="6" t="s">
        <v>23</v>
      </c>
      <c r="B15" s="6">
        <f t="shared" ref="B15:D15" si="4">RANK(B$14, $B$14:$E$14)</f>
        <v>1</v>
      </c>
      <c r="C15" s="6">
        <f t="shared" si="4"/>
        <v>2</v>
      </c>
      <c r="D15" s="6">
        <f t="shared" si="4"/>
        <v>3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5</v>
      </c>
    </row>
    <row r="22" spans="1:2" ht="12.75" x14ac:dyDescent="0.35">
      <c r="A22" s="13" t="s">
        <v>28</v>
      </c>
      <c r="B22" s="13">
        <f>$B$17*$B$20*$B$21</f>
        <v>525000</v>
      </c>
    </row>
  </sheetData>
  <phoneticPr fontId="3"/>
  <conditionalFormatting sqref="G2:G12">
    <cfRule type="notContainsText" dxfId="21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1500-000000000000}">
      <formula1>"0.05,0.06,0.08,0.1,0.12,0.2"</formula1>
    </dataValidation>
    <dataValidation type="list" allowBlank="1" showErrorMessage="1" sqref="B17" xr:uid="{00000000-0002-0000-15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5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7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28000</v>
      </c>
      <c r="C2" s="7">
        <v>42000</v>
      </c>
      <c r="D2" s="7">
        <v>35000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14900</v>
      </c>
      <c r="C3" s="7">
        <v>51800</v>
      </c>
      <c r="D3" s="7">
        <v>38300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42900</v>
      </c>
      <c r="C12" s="8">
        <f t="shared" si="1"/>
        <v>93800</v>
      </c>
      <c r="D12" s="8">
        <f t="shared" si="1"/>
        <v>73300</v>
      </c>
      <c r="E12" s="8" t="str">
        <f>IF(COUNTA(E$1), SUM(E$2:E$11), "-")</f>
        <v>-</v>
      </c>
      <c r="F12" s="8">
        <f t="shared" si="0"/>
        <v>210000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-27100</v>
      </c>
      <c r="C13" s="8">
        <f t="shared" si="2"/>
        <v>23800</v>
      </c>
      <c r="D13" s="8">
        <f t="shared" si="2"/>
        <v>3300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-1355</v>
      </c>
      <c r="C14" s="10">
        <f t="shared" si="3"/>
        <v>1190</v>
      </c>
      <c r="D14" s="10">
        <f t="shared" si="3"/>
        <v>165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3</v>
      </c>
      <c r="C15" s="6">
        <f t="shared" si="4"/>
        <v>1</v>
      </c>
      <c r="D15" s="6">
        <f t="shared" si="4"/>
        <v>2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2</v>
      </c>
    </row>
    <row r="22" spans="1:2" ht="12.75" x14ac:dyDescent="0.35">
      <c r="A22" s="13" t="s">
        <v>28</v>
      </c>
      <c r="B22" s="13">
        <f>$B$17*$B$20*$B$21</f>
        <v>210000</v>
      </c>
    </row>
  </sheetData>
  <phoneticPr fontId="3"/>
  <conditionalFormatting sqref="G2:G12">
    <cfRule type="notContainsText" dxfId="20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1600-000000000000}">
      <formula1>"0.05,0.06,0.08,0.1,0.12,0.2"</formula1>
    </dataValidation>
    <dataValidation type="list" allowBlank="1" showErrorMessage="1" sqref="B17" xr:uid="{00000000-0002-0000-16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6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7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34900</v>
      </c>
      <c r="C2" s="7">
        <v>28600</v>
      </c>
      <c r="D2" s="7">
        <v>41500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68900</v>
      </c>
      <c r="C3" s="7">
        <v>3400</v>
      </c>
      <c r="D3" s="7">
        <v>32700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62300</v>
      </c>
      <c r="C4" s="7">
        <v>42900</v>
      </c>
      <c r="D4" s="7">
        <v>-200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166100</v>
      </c>
      <c r="C12" s="8">
        <f t="shared" si="1"/>
        <v>74900</v>
      </c>
      <c r="D12" s="8">
        <f t="shared" si="1"/>
        <v>74000</v>
      </c>
      <c r="E12" s="8" t="str">
        <f>IF(COUNTA(E$1), SUM(E$2:E$11), "-")</f>
        <v>-</v>
      </c>
      <c r="F12" s="8">
        <f t="shared" si="0"/>
        <v>315000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61100</v>
      </c>
      <c r="C13" s="8">
        <f t="shared" si="2"/>
        <v>-30100</v>
      </c>
      <c r="D13" s="8">
        <f t="shared" si="2"/>
        <v>-31000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3055</v>
      </c>
      <c r="C14" s="10">
        <f t="shared" si="3"/>
        <v>-1505</v>
      </c>
      <c r="D14" s="10">
        <f t="shared" si="3"/>
        <v>-1550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1</v>
      </c>
      <c r="C15" s="6">
        <f t="shared" si="4"/>
        <v>2</v>
      </c>
      <c r="D15" s="6">
        <f t="shared" si="4"/>
        <v>3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3</v>
      </c>
    </row>
    <row r="22" spans="1:2" ht="12.75" x14ac:dyDescent="0.35">
      <c r="A22" s="13" t="s">
        <v>28</v>
      </c>
      <c r="B22" s="13">
        <f>$B$17*$B$20*$B$21</f>
        <v>315000</v>
      </c>
    </row>
  </sheetData>
  <phoneticPr fontId="3"/>
  <conditionalFormatting sqref="G2:G12">
    <cfRule type="notContainsText" dxfId="19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1700-000000000000}">
      <formula1>"0.05,0.06,0.08,0.1,0.12,0.2"</formula1>
    </dataValidation>
    <dataValidation type="list" allowBlank="1" showErrorMessage="1" sqref="B17" xr:uid="{00000000-0002-0000-17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7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G22"/>
  <sheetViews>
    <sheetView workbookViewId="0">
      <selection activeCell="B1" sqref="B1"/>
    </sheetView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7</v>
      </c>
      <c r="E1" s="6" t="s">
        <v>1</v>
      </c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23200</v>
      </c>
      <c r="C2" s="7">
        <v>47300</v>
      </c>
      <c r="D2" s="7">
        <v>4000</v>
      </c>
      <c r="E2" s="7">
        <v>25500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62800</v>
      </c>
      <c r="C3" s="7">
        <v>-3500</v>
      </c>
      <c r="D3" s="7">
        <v>40600</v>
      </c>
      <c r="E3" s="7">
        <v>100</v>
      </c>
      <c r="F3" s="8">
        <f t="shared" si="0"/>
        <v>100000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47500</v>
      </c>
      <c r="C4" s="7">
        <v>6800</v>
      </c>
      <c r="D4" s="7">
        <v>23700</v>
      </c>
      <c r="E4" s="7">
        <v>23000</v>
      </c>
      <c r="F4" s="8">
        <f t="shared" si="0"/>
        <v>101000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133500</v>
      </c>
      <c r="C12" s="8">
        <f t="shared" si="1"/>
        <v>50600</v>
      </c>
      <c r="D12" s="8">
        <f t="shared" si="1"/>
        <v>68300</v>
      </c>
      <c r="E12" s="8">
        <f>IF(COUNTA(E$1), SUM(E$2:E$11), "-")</f>
        <v>48600</v>
      </c>
      <c r="F12" s="8">
        <f t="shared" si="0"/>
        <v>301000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58500</v>
      </c>
      <c r="C13" s="8">
        <f t="shared" si="2"/>
        <v>-24400</v>
      </c>
      <c r="D13" s="8">
        <f t="shared" si="2"/>
        <v>-6700</v>
      </c>
      <c r="E13" s="8">
        <f>IF(COUNTA(E$1), E12-$B17*$B$21, "-")</f>
        <v>-26400</v>
      </c>
      <c r="F13" s="8">
        <f t="shared" si="0"/>
        <v>1000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5850</v>
      </c>
      <c r="C14" s="10">
        <f t="shared" si="3"/>
        <v>-2440</v>
      </c>
      <c r="D14" s="10">
        <f t="shared" si="3"/>
        <v>-670</v>
      </c>
      <c r="E14" s="10">
        <f>IF(COUNTA(E$1), E$13*$B$18, "-")</f>
        <v>-2640</v>
      </c>
      <c r="F14" s="8">
        <f t="shared" si="0"/>
        <v>100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1</v>
      </c>
      <c r="C15" s="6">
        <f t="shared" si="4"/>
        <v>3</v>
      </c>
      <c r="D15" s="6">
        <f t="shared" si="4"/>
        <v>2</v>
      </c>
      <c r="E15" s="6">
        <f>IF(COUNTA(E$1), RANK(E$14, $B$14:$E$14), "-")</f>
        <v>4</v>
      </c>
      <c r="F15" s="8">
        <f t="shared" si="0"/>
        <v>10</v>
      </c>
      <c r="G15" s="6" t="s">
        <v>21</v>
      </c>
    </row>
    <row r="17" spans="1:2" ht="12.75" x14ac:dyDescent="0.35">
      <c r="A17" s="11" t="s">
        <v>24</v>
      </c>
      <c r="B17" s="12">
        <v>25000</v>
      </c>
    </row>
    <row r="18" spans="1:2" ht="12.75" x14ac:dyDescent="0.35">
      <c r="A18" s="11" t="s">
        <v>25</v>
      </c>
      <c r="B18" s="11">
        <v>0.1</v>
      </c>
    </row>
    <row r="20" spans="1:2" ht="12.75" x14ac:dyDescent="0.35">
      <c r="A20" s="13" t="s">
        <v>26</v>
      </c>
      <c r="B20" s="13">
        <f>COUNTA($B$1:$E$1)</f>
        <v>4</v>
      </c>
    </row>
    <row r="21" spans="1:2" ht="12.75" x14ac:dyDescent="0.35">
      <c r="A21" s="13" t="s">
        <v>27</v>
      </c>
      <c r="B21" s="13">
        <f>COUNT($B$2:$B$11)</f>
        <v>3</v>
      </c>
    </row>
    <row r="22" spans="1:2" ht="12.75" x14ac:dyDescent="0.35">
      <c r="A22" s="13" t="s">
        <v>28</v>
      </c>
      <c r="B22" s="13">
        <f>$B$17*$B$20*$B$21</f>
        <v>300000</v>
      </c>
    </row>
  </sheetData>
  <phoneticPr fontId="3"/>
  <conditionalFormatting sqref="G2:G12">
    <cfRule type="notContainsText" dxfId="18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1800-000000000000}">
      <formula1>"0.05,0.06,0.08,0.1,0.12,0.2"</formula1>
    </dataValidation>
    <dataValidation type="list" allowBlank="1" showErrorMessage="1" sqref="B17" xr:uid="{00000000-0002-0000-18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8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7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61000</v>
      </c>
      <c r="C2" s="7">
        <v>17000</v>
      </c>
      <c r="D2" s="7">
        <v>27000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45000</v>
      </c>
      <c r="C3" s="7">
        <v>29000</v>
      </c>
      <c r="D3" s="7">
        <v>31000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48000</v>
      </c>
      <c r="C4" s="7">
        <v>14000</v>
      </c>
      <c r="D4" s="7">
        <v>43000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>
        <v>81000</v>
      </c>
      <c r="C5" s="7">
        <v>-8000</v>
      </c>
      <c r="D5" s="7">
        <v>32000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235000</v>
      </c>
      <c r="C12" s="8">
        <f t="shared" si="1"/>
        <v>52000</v>
      </c>
      <c r="D12" s="8">
        <f t="shared" si="1"/>
        <v>133000</v>
      </c>
      <c r="E12" s="8" t="str">
        <f>IF(COUNTA(E$1), SUM(E$2:E$11), "-")</f>
        <v>-</v>
      </c>
      <c r="F12" s="8">
        <f t="shared" si="0"/>
        <v>420000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95000</v>
      </c>
      <c r="C13" s="8">
        <f t="shared" si="2"/>
        <v>-88000</v>
      </c>
      <c r="D13" s="8">
        <f t="shared" si="2"/>
        <v>-7000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4750</v>
      </c>
      <c r="C14" s="10">
        <f t="shared" si="3"/>
        <v>-4400</v>
      </c>
      <c r="D14" s="10">
        <f t="shared" si="3"/>
        <v>-350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1</v>
      </c>
      <c r="C15" s="6">
        <f t="shared" si="4"/>
        <v>3</v>
      </c>
      <c r="D15" s="6">
        <f t="shared" si="4"/>
        <v>2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4</v>
      </c>
    </row>
    <row r="22" spans="1:2" ht="12.75" x14ac:dyDescent="0.35">
      <c r="A22" s="13" t="s">
        <v>28</v>
      </c>
      <c r="B22" s="13">
        <f>$B$17*$B$20*$B$21</f>
        <v>420000</v>
      </c>
    </row>
  </sheetData>
  <phoneticPr fontId="3"/>
  <conditionalFormatting sqref="G2:G12">
    <cfRule type="notContainsText" dxfId="17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1900-000000000000}">
      <formula1>"35,000,25,000"</formula1>
    </dataValidation>
    <dataValidation type="list" allowBlank="1" showErrorMessage="1" sqref="B18" xr:uid="{00000000-0002-0000-19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9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7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61000</v>
      </c>
      <c r="C2" s="7">
        <v>-2000</v>
      </c>
      <c r="D2" s="7">
        <v>46000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48000</v>
      </c>
      <c r="C3" s="7">
        <v>26000</v>
      </c>
      <c r="D3" s="7">
        <v>31000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-3000</v>
      </c>
      <c r="C4" s="7">
        <v>40000</v>
      </c>
      <c r="D4" s="7">
        <v>68000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>
        <v>51000</v>
      </c>
      <c r="C5" s="7">
        <v>37000</v>
      </c>
      <c r="D5" s="7">
        <v>17000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157000</v>
      </c>
      <c r="C12" s="8">
        <f t="shared" si="1"/>
        <v>101000</v>
      </c>
      <c r="D12" s="8">
        <f t="shared" si="1"/>
        <v>162000</v>
      </c>
      <c r="E12" s="8" t="str">
        <f>IF(COUNTA(E$1), SUM(E$2:E$11), "-")</f>
        <v>-</v>
      </c>
      <c r="F12" s="8">
        <f t="shared" si="0"/>
        <v>420000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17000</v>
      </c>
      <c r="C13" s="8">
        <f t="shared" si="2"/>
        <v>-39000</v>
      </c>
      <c r="D13" s="8">
        <f t="shared" si="2"/>
        <v>22000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850</v>
      </c>
      <c r="C14" s="10">
        <f t="shared" si="3"/>
        <v>-1950</v>
      </c>
      <c r="D14" s="10">
        <f t="shared" si="3"/>
        <v>1100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2</v>
      </c>
      <c r="C15" s="6">
        <f t="shared" si="4"/>
        <v>3</v>
      </c>
      <c r="D15" s="6">
        <f t="shared" si="4"/>
        <v>1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4</v>
      </c>
    </row>
    <row r="22" spans="1:2" ht="12.75" x14ac:dyDescent="0.35">
      <c r="A22" s="13" t="s">
        <v>28</v>
      </c>
      <c r="B22" s="13">
        <f>$B$17*$B$20*$B$21</f>
        <v>420000</v>
      </c>
    </row>
  </sheetData>
  <phoneticPr fontId="3"/>
  <conditionalFormatting sqref="G2:G12">
    <cfRule type="notContainsText" dxfId="16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1A00-000000000000}">
      <formula1>"35,000,25,000"</formula1>
    </dataValidation>
    <dataValidation type="list" allowBlank="1" showErrorMessage="1" sqref="B18" xr:uid="{00000000-0002-0000-1A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A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7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45000</v>
      </c>
      <c r="C2" s="7">
        <v>41000</v>
      </c>
      <c r="D2" s="7">
        <v>19000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26000</v>
      </c>
      <c r="C3" s="7">
        <v>52000</v>
      </c>
      <c r="D3" s="7">
        <v>27000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71000</v>
      </c>
      <c r="C12" s="8">
        <f t="shared" si="1"/>
        <v>93000</v>
      </c>
      <c r="D12" s="8">
        <f t="shared" si="1"/>
        <v>46000</v>
      </c>
      <c r="E12" s="8" t="str">
        <f>IF(COUNTA(E$1), SUM(E$2:E$11), "-")</f>
        <v>-</v>
      </c>
      <c r="F12" s="8">
        <f t="shared" si="0"/>
        <v>210000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1000</v>
      </c>
      <c r="C13" s="8">
        <f t="shared" si="2"/>
        <v>23000</v>
      </c>
      <c r="D13" s="8">
        <f t="shared" si="2"/>
        <v>-24000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50</v>
      </c>
      <c r="C14" s="10">
        <f t="shared" si="3"/>
        <v>1150</v>
      </c>
      <c r="D14" s="10">
        <f t="shared" si="3"/>
        <v>-1200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2</v>
      </c>
      <c r="C15" s="6">
        <f t="shared" si="4"/>
        <v>1</v>
      </c>
      <c r="D15" s="6">
        <f t="shared" si="4"/>
        <v>3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2</v>
      </c>
    </row>
    <row r="22" spans="1:2" ht="12.75" x14ac:dyDescent="0.35">
      <c r="A22" s="13" t="s">
        <v>28</v>
      </c>
      <c r="B22" s="13">
        <f>$B$17*$B$20*$B$21</f>
        <v>210000</v>
      </c>
    </row>
  </sheetData>
  <phoneticPr fontId="3"/>
  <conditionalFormatting sqref="G2:G12">
    <cfRule type="notContainsText" dxfId="15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1B00-000000000000}">
      <formula1>"35,000,25,000"</formula1>
    </dataValidation>
    <dataValidation type="list" allowBlank="1" showErrorMessage="1" sqref="B18" xr:uid="{00000000-0002-0000-1B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B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7</v>
      </c>
      <c r="E1" s="6" t="s">
        <v>2</v>
      </c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27600</v>
      </c>
      <c r="C2" s="7">
        <v>12400</v>
      </c>
      <c r="D2" s="7">
        <v>37000</v>
      </c>
      <c r="E2" s="7">
        <v>23000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/>
      <c r="C3" s="7"/>
      <c r="D3" s="7"/>
      <c r="E3" s="7"/>
      <c r="F3" s="8">
        <f t="shared" si="0"/>
        <v>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27600</v>
      </c>
      <c r="C12" s="8">
        <f t="shared" si="1"/>
        <v>12400</v>
      </c>
      <c r="D12" s="8">
        <f t="shared" si="1"/>
        <v>37000</v>
      </c>
      <c r="E12" s="8">
        <f>IF(COUNTA(E$1), SUM(E$2:E$11), "-")</f>
        <v>23000</v>
      </c>
      <c r="F12" s="8">
        <f t="shared" si="0"/>
        <v>100000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2600</v>
      </c>
      <c r="C13" s="8">
        <f t="shared" si="2"/>
        <v>-12600</v>
      </c>
      <c r="D13" s="8">
        <f t="shared" si="2"/>
        <v>12000</v>
      </c>
      <c r="E13" s="8">
        <f>IF(COUNTA(E$1), E12-$B17*$B$21, "-")</f>
        <v>-2000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260</v>
      </c>
      <c r="C14" s="10">
        <f t="shared" si="3"/>
        <v>-1260</v>
      </c>
      <c r="D14" s="10">
        <f t="shared" si="3"/>
        <v>1200</v>
      </c>
      <c r="E14" s="10">
        <f>IF(COUNTA(E$1), E$13*$B$18, "-")</f>
        <v>-200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2</v>
      </c>
      <c r="C15" s="6">
        <f t="shared" si="4"/>
        <v>4</v>
      </c>
      <c r="D15" s="6">
        <f t="shared" si="4"/>
        <v>1</v>
      </c>
      <c r="E15" s="6">
        <f>IF(COUNTA(E$1), RANK(E$14, $B$14:$E$14), "-")</f>
        <v>3</v>
      </c>
      <c r="F15" s="8">
        <f t="shared" si="0"/>
        <v>10</v>
      </c>
      <c r="G15" s="6" t="s">
        <v>21</v>
      </c>
    </row>
    <row r="17" spans="1:2" ht="12.75" x14ac:dyDescent="0.35">
      <c r="A17" s="11" t="s">
        <v>24</v>
      </c>
      <c r="B17" s="12">
        <v>25000</v>
      </c>
    </row>
    <row r="18" spans="1:2" ht="12.75" x14ac:dyDescent="0.35">
      <c r="A18" s="11" t="s">
        <v>25</v>
      </c>
      <c r="B18" s="11">
        <v>0.1</v>
      </c>
    </row>
    <row r="20" spans="1:2" ht="12.75" x14ac:dyDescent="0.35">
      <c r="A20" s="13" t="s">
        <v>26</v>
      </c>
      <c r="B20" s="13">
        <f>COUNTA($B$1:$E$1)</f>
        <v>4</v>
      </c>
    </row>
    <row r="21" spans="1:2" ht="12.75" x14ac:dyDescent="0.35">
      <c r="A21" s="13" t="s">
        <v>27</v>
      </c>
      <c r="B21" s="13">
        <f>COUNT($B$2:$B$11)</f>
        <v>1</v>
      </c>
    </row>
    <row r="22" spans="1:2" ht="12.75" x14ac:dyDescent="0.35">
      <c r="A22" s="13" t="s">
        <v>28</v>
      </c>
      <c r="B22" s="13">
        <f>$B$17*$B$20*$B$21</f>
        <v>100000</v>
      </c>
    </row>
  </sheetData>
  <phoneticPr fontId="3"/>
  <conditionalFormatting sqref="G2:G12">
    <cfRule type="notContainsText" dxfId="14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1C00-000000000000}">
      <formula1>"35,000,25,000"</formula1>
    </dataValidation>
    <dataValidation type="list" allowBlank="1" showErrorMessage="1" sqref="B18" xr:uid="{00000000-0002-0000-1C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C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7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36000</v>
      </c>
      <c r="C2" s="7">
        <v>42000</v>
      </c>
      <c r="D2" s="7">
        <v>27000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4000</v>
      </c>
      <c r="C3" s="7">
        <v>34000</v>
      </c>
      <c r="D3" s="7">
        <v>67000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14000</v>
      </c>
      <c r="C4" s="7">
        <v>13000</v>
      </c>
      <c r="D4" s="7">
        <v>78000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54000</v>
      </c>
      <c r="C12" s="8">
        <f t="shared" si="1"/>
        <v>89000</v>
      </c>
      <c r="D12" s="8">
        <f t="shared" si="1"/>
        <v>172000</v>
      </c>
      <c r="E12" s="8" t="str">
        <f>IF(COUNTA(E$1), SUM(E$2:E$11), "-")</f>
        <v>-</v>
      </c>
      <c r="F12" s="8">
        <f t="shared" si="0"/>
        <v>315000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-51000</v>
      </c>
      <c r="C13" s="8">
        <f t="shared" si="2"/>
        <v>-16000</v>
      </c>
      <c r="D13" s="8">
        <f t="shared" si="2"/>
        <v>67000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-2550</v>
      </c>
      <c r="C14" s="10">
        <f t="shared" si="3"/>
        <v>-800</v>
      </c>
      <c r="D14" s="10">
        <f t="shared" si="3"/>
        <v>3350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3</v>
      </c>
      <c r="C15" s="6">
        <f t="shared" si="4"/>
        <v>2</v>
      </c>
      <c r="D15" s="6">
        <f t="shared" si="4"/>
        <v>1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3</v>
      </c>
    </row>
    <row r="22" spans="1:2" ht="12.75" x14ac:dyDescent="0.35">
      <c r="A22" s="13" t="s">
        <v>28</v>
      </c>
      <c r="B22" s="13">
        <f>$B$17*$B$20*$B$21</f>
        <v>315000</v>
      </c>
    </row>
  </sheetData>
  <phoneticPr fontId="3"/>
  <conditionalFormatting sqref="G2:G12">
    <cfRule type="notContainsText" dxfId="13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1D00-000000000000}">
      <formula1>"35,000,25,000"</formula1>
    </dataValidation>
    <dataValidation type="list" allowBlank="1" showErrorMessage="1" sqref="B18" xr:uid="{00000000-0002-0000-1D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D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7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24000</v>
      </c>
      <c r="C2" s="7">
        <v>46000</v>
      </c>
      <c r="D2" s="7">
        <v>35000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98000</v>
      </c>
      <c r="C3" s="7">
        <v>-5000</v>
      </c>
      <c r="D3" s="7">
        <v>12000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10000</v>
      </c>
      <c r="C4" s="7">
        <v>37000</v>
      </c>
      <c r="D4" s="7">
        <v>58000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>
        <v>24000</v>
      </c>
      <c r="C5" s="7">
        <v>83000</v>
      </c>
      <c r="D5" s="7">
        <v>-2000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156000</v>
      </c>
      <c r="C12" s="8">
        <f t="shared" si="1"/>
        <v>161000</v>
      </c>
      <c r="D12" s="8">
        <f t="shared" si="1"/>
        <v>103000</v>
      </c>
      <c r="E12" s="8" t="str">
        <f>IF(COUNTA(E$1), SUM(E$2:E$11), "-")</f>
        <v>-</v>
      </c>
      <c r="F12" s="8">
        <f t="shared" si="0"/>
        <v>420000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16000</v>
      </c>
      <c r="C13" s="8">
        <f t="shared" si="2"/>
        <v>21000</v>
      </c>
      <c r="D13" s="8">
        <f t="shared" si="2"/>
        <v>-37000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800</v>
      </c>
      <c r="C14" s="10">
        <f t="shared" si="3"/>
        <v>1050</v>
      </c>
      <c r="D14" s="10">
        <f t="shared" si="3"/>
        <v>-1850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2</v>
      </c>
      <c r="C15" s="6">
        <f t="shared" si="4"/>
        <v>1</v>
      </c>
      <c r="D15" s="6">
        <f t="shared" si="4"/>
        <v>3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4</v>
      </c>
    </row>
    <row r="22" spans="1:2" ht="12.75" x14ac:dyDescent="0.35">
      <c r="A22" s="13" t="s">
        <v>28</v>
      </c>
      <c r="B22" s="13">
        <f>$B$17*$B$20*$B$21</f>
        <v>420000</v>
      </c>
    </row>
  </sheetData>
  <phoneticPr fontId="3"/>
  <conditionalFormatting sqref="G2:G12">
    <cfRule type="notContainsText" dxfId="12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1E00-000000000000}">
      <formula1>"35,000,25,000"</formula1>
    </dataValidation>
    <dataValidation type="list" allowBlank="1" showErrorMessage="1" sqref="B18" xr:uid="{00000000-0002-0000-1E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E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7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55000</v>
      </c>
      <c r="C2" s="7">
        <v>48000</v>
      </c>
      <c r="D2" s="7">
        <v>2000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15000</v>
      </c>
      <c r="C3" s="7">
        <v>35000</v>
      </c>
      <c r="D3" s="7">
        <v>55000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44000</v>
      </c>
      <c r="C4" s="7">
        <v>17000</v>
      </c>
      <c r="D4" s="7">
        <v>44000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>
        <v>29000</v>
      </c>
      <c r="C5" s="7">
        <v>48000</v>
      </c>
      <c r="D5" s="7">
        <v>28000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143000</v>
      </c>
      <c r="C12" s="8">
        <f t="shared" si="1"/>
        <v>148000</v>
      </c>
      <c r="D12" s="8">
        <f t="shared" si="1"/>
        <v>129000</v>
      </c>
      <c r="E12" s="8" t="str">
        <f>IF(COUNTA(E$1), SUM(E$2:E$11), "-")</f>
        <v>-</v>
      </c>
      <c r="F12" s="8">
        <f t="shared" si="0"/>
        <v>420000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3000</v>
      </c>
      <c r="C13" s="8">
        <f t="shared" si="2"/>
        <v>8000</v>
      </c>
      <c r="D13" s="8">
        <f t="shared" si="2"/>
        <v>-11000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150</v>
      </c>
      <c r="C14" s="10">
        <f t="shared" si="3"/>
        <v>400</v>
      </c>
      <c r="D14" s="10">
        <f t="shared" si="3"/>
        <v>-550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2</v>
      </c>
      <c r="C15" s="6">
        <f t="shared" si="4"/>
        <v>1</v>
      </c>
      <c r="D15" s="6">
        <f t="shared" si="4"/>
        <v>3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4</v>
      </c>
    </row>
    <row r="22" spans="1:2" ht="12.75" x14ac:dyDescent="0.35">
      <c r="A22" s="13" t="s">
        <v>28</v>
      </c>
      <c r="B22" s="13">
        <f>$B$17*$B$20*$B$21</f>
        <v>420000</v>
      </c>
    </row>
  </sheetData>
  <phoneticPr fontId="3"/>
  <conditionalFormatting sqref="G2:G12">
    <cfRule type="notContainsText" dxfId="11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1F00-000000000000}">
      <formula1>"35,000,25,000"</formula1>
    </dataValidation>
    <dataValidation type="list" allowBlank="1" showErrorMessage="1" sqref="B18" xr:uid="{00000000-0002-0000-1F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F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14" t="s">
        <v>38</v>
      </c>
      <c r="B1" s="6" t="s">
        <v>4</v>
      </c>
      <c r="C1" s="6" t="s">
        <v>3</v>
      </c>
      <c r="D1" s="6" t="s">
        <v>7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62000</v>
      </c>
      <c r="C2" s="7">
        <v>42000</v>
      </c>
      <c r="D2" s="7">
        <v>1000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-15000</v>
      </c>
      <c r="C3" s="7">
        <v>31000</v>
      </c>
      <c r="D3" s="7">
        <v>89000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12000</v>
      </c>
      <c r="C4" s="7">
        <v>59000</v>
      </c>
      <c r="D4" s="7">
        <v>34000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>
        <v>57000</v>
      </c>
      <c r="C5" s="7">
        <v>43000</v>
      </c>
      <c r="D5" s="7">
        <v>5000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>
        <v>31000</v>
      </c>
      <c r="C6" s="7">
        <v>33000</v>
      </c>
      <c r="D6" s="7">
        <v>41000</v>
      </c>
      <c r="E6" s="7"/>
      <c r="F6" s="8">
        <f t="shared" si="0"/>
        <v>105000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>
        <v>7000</v>
      </c>
      <c r="C7" s="7">
        <v>56000</v>
      </c>
      <c r="D7" s="7">
        <v>42000</v>
      </c>
      <c r="E7" s="7"/>
      <c r="F7" s="8">
        <f t="shared" si="0"/>
        <v>105000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>
        <v>52000</v>
      </c>
      <c r="C8" s="7">
        <v>32000</v>
      </c>
      <c r="D8" s="7">
        <v>21000</v>
      </c>
      <c r="E8" s="7"/>
      <c r="F8" s="8">
        <f t="shared" si="0"/>
        <v>105000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206000</v>
      </c>
      <c r="C12" s="8">
        <f t="shared" si="1"/>
        <v>296000</v>
      </c>
      <c r="D12" s="8">
        <f t="shared" si="1"/>
        <v>233000</v>
      </c>
      <c r="E12" s="8" t="str">
        <f>IF(COUNTA(E$1), SUM(E$2:E$11), "-")</f>
        <v>-</v>
      </c>
      <c r="F12" s="8">
        <f t="shared" si="0"/>
        <v>735000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-39000</v>
      </c>
      <c r="C13" s="8">
        <f t="shared" si="2"/>
        <v>51000</v>
      </c>
      <c r="D13" s="8">
        <f t="shared" si="2"/>
        <v>-12000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-1950</v>
      </c>
      <c r="C14" s="10">
        <f t="shared" si="3"/>
        <v>2550</v>
      </c>
      <c r="D14" s="10">
        <f t="shared" si="3"/>
        <v>-600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3</v>
      </c>
      <c r="C15" s="6">
        <f t="shared" si="4"/>
        <v>1</v>
      </c>
      <c r="D15" s="6">
        <f t="shared" si="4"/>
        <v>2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7</v>
      </c>
    </row>
    <row r="22" spans="1:2" ht="12.75" x14ac:dyDescent="0.35">
      <c r="A22" s="13" t="s">
        <v>28</v>
      </c>
      <c r="B22" s="13">
        <f>$B$17*$B$20*$B$21</f>
        <v>735000</v>
      </c>
    </row>
  </sheetData>
  <phoneticPr fontId="3"/>
  <conditionalFormatting sqref="G2:G12">
    <cfRule type="notContainsText" dxfId="10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2000-000000000000}">
      <formula1>"35,000,25,000"</formula1>
    </dataValidation>
    <dataValidation type="list" allowBlank="1" showErrorMessage="1" sqref="B18" xr:uid="{00000000-0002-0000-20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20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1</v>
      </c>
      <c r="E1" s="6" t="s">
        <v>31</v>
      </c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35900</v>
      </c>
      <c r="C2" s="7">
        <v>25000</v>
      </c>
      <c r="D2" s="7">
        <v>27500</v>
      </c>
      <c r="E2" s="7">
        <v>11600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10000</v>
      </c>
      <c r="C3" s="7">
        <v>41000</v>
      </c>
      <c r="D3" s="7">
        <v>27000</v>
      </c>
      <c r="E3" s="7">
        <v>22000</v>
      </c>
      <c r="F3" s="8">
        <f t="shared" si="0"/>
        <v>100000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45900</v>
      </c>
      <c r="C12" s="8">
        <f t="shared" si="1"/>
        <v>66000</v>
      </c>
      <c r="D12" s="8">
        <f t="shared" si="1"/>
        <v>54500</v>
      </c>
      <c r="E12" s="8">
        <f>IF(COUNTA(E$1), SUM(E$2:E$11), "-")</f>
        <v>33600</v>
      </c>
      <c r="F12" s="8">
        <f t="shared" si="0"/>
        <v>200000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-4100</v>
      </c>
      <c r="C13" s="8">
        <f t="shared" si="2"/>
        <v>16000</v>
      </c>
      <c r="D13" s="8">
        <f t="shared" si="2"/>
        <v>4500</v>
      </c>
      <c r="E13" s="8">
        <f>IF(COUNTA(E$1), E12-$B17*$B$21, "-")</f>
        <v>-16400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-205</v>
      </c>
      <c r="C14" s="10">
        <f t="shared" si="3"/>
        <v>800</v>
      </c>
      <c r="D14" s="10">
        <f t="shared" si="3"/>
        <v>225</v>
      </c>
      <c r="E14" s="10">
        <f>IF(COUNTA(E$1), E$13*$B$18, "-")</f>
        <v>-820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3</v>
      </c>
      <c r="C15" s="6">
        <f t="shared" si="4"/>
        <v>1</v>
      </c>
      <c r="D15" s="6">
        <f t="shared" si="4"/>
        <v>2</v>
      </c>
      <c r="E15" s="6">
        <f>IF(COUNTA(E$1), RANK(E$14, $B$14:$E$14), "-")</f>
        <v>4</v>
      </c>
      <c r="F15" s="8">
        <f t="shared" si="0"/>
        <v>10</v>
      </c>
      <c r="G15" s="6" t="s">
        <v>21</v>
      </c>
    </row>
    <row r="17" spans="1:2" ht="12.75" x14ac:dyDescent="0.35">
      <c r="A17" s="11" t="s">
        <v>24</v>
      </c>
      <c r="B17" s="12">
        <v>25000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4</v>
      </c>
    </row>
    <row r="21" spans="1:2" ht="12.75" x14ac:dyDescent="0.35">
      <c r="A21" s="13" t="s">
        <v>27</v>
      </c>
      <c r="B21" s="13">
        <f>COUNT($B$2:$B$11)</f>
        <v>2</v>
      </c>
    </row>
    <row r="22" spans="1:2" ht="12.75" x14ac:dyDescent="0.35">
      <c r="A22" s="13" t="s">
        <v>28</v>
      </c>
      <c r="B22" s="13">
        <f>$B$17*$B$20*$B$21</f>
        <v>200000</v>
      </c>
    </row>
  </sheetData>
  <phoneticPr fontId="3"/>
  <conditionalFormatting sqref="G2:G12">
    <cfRule type="notContainsText" dxfId="9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2100-000000000000}">
      <formula1>"35,000,25,000"</formula1>
    </dataValidation>
    <dataValidation type="list" allowBlank="1" showErrorMessage="1" sqref="B18" xr:uid="{00000000-0002-0000-21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21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7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68000</v>
      </c>
      <c r="C2" s="7">
        <v>-9000</v>
      </c>
      <c r="D2" s="7">
        <v>46000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32000</v>
      </c>
      <c r="C3" s="7">
        <v>49000</v>
      </c>
      <c r="D3" s="7">
        <v>24000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42000</v>
      </c>
      <c r="C4" s="7">
        <v>23000</v>
      </c>
      <c r="D4" s="7">
        <v>40000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142000</v>
      </c>
      <c r="C12" s="8">
        <f t="shared" si="1"/>
        <v>63000</v>
      </c>
      <c r="D12" s="8">
        <f t="shared" si="1"/>
        <v>110000</v>
      </c>
      <c r="E12" s="8" t="str">
        <f>IF(COUNTA(E$1), SUM(E$2:E$11), "-")</f>
        <v>-</v>
      </c>
      <c r="F12" s="8">
        <f t="shared" si="0"/>
        <v>315000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37000</v>
      </c>
      <c r="C13" s="8">
        <f t="shared" si="2"/>
        <v>-42000</v>
      </c>
      <c r="D13" s="8">
        <f t="shared" si="2"/>
        <v>5000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1850</v>
      </c>
      <c r="C14" s="10">
        <f t="shared" si="3"/>
        <v>-2100</v>
      </c>
      <c r="D14" s="10">
        <f t="shared" si="3"/>
        <v>250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1</v>
      </c>
      <c r="C15" s="6">
        <f t="shared" si="4"/>
        <v>3</v>
      </c>
      <c r="D15" s="6">
        <f t="shared" si="4"/>
        <v>2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3</v>
      </c>
    </row>
    <row r="22" spans="1:2" ht="12.75" x14ac:dyDescent="0.35">
      <c r="A22" s="13" t="s">
        <v>28</v>
      </c>
      <c r="B22" s="13">
        <f>$B$17*$B$20*$B$21</f>
        <v>315000</v>
      </c>
    </row>
  </sheetData>
  <phoneticPr fontId="3"/>
  <conditionalFormatting sqref="G2:G12">
    <cfRule type="notContainsText" dxfId="8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2200-000000000000}">
      <formula1>"35,000,25,000"</formula1>
    </dataValidation>
    <dataValidation type="list" allowBlank="1" showErrorMessage="1" sqref="B18" xr:uid="{00000000-0002-0000-22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22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1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0</v>
      </c>
      <c r="C2" s="7">
        <v>65000</v>
      </c>
      <c r="D2" s="7">
        <v>40000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/>
      <c r="C3" s="7"/>
      <c r="D3" s="7"/>
      <c r="E3" s="7"/>
      <c r="F3" s="8">
        <f t="shared" si="0"/>
        <v>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0</v>
      </c>
      <c r="C12" s="8">
        <f t="shared" si="1"/>
        <v>65000</v>
      </c>
      <c r="D12" s="8">
        <f t="shared" si="1"/>
        <v>40000</v>
      </c>
      <c r="E12" s="8" t="str">
        <f>IF(COUNTA(E$1), SUM(E$2:E$11), "-")</f>
        <v>-</v>
      </c>
      <c r="F12" s="8">
        <f t="shared" si="0"/>
        <v>105000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-35000</v>
      </c>
      <c r="C13" s="8">
        <f t="shared" si="2"/>
        <v>30000</v>
      </c>
      <c r="D13" s="8">
        <f t="shared" si="2"/>
        <v>5000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-1750</v>
      </c>
      <c r="C14" s="10">
        <f t="shared" si="3"/>
        <v>1500</v>
      </c>
      <c r="D14" s="10">
        <f t="shared" si="3"/>
        <v>250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3</v>
      </c>
      <c r="C15" s="6">
        <f t="shared" si="4"/>
        <v>1</v>
      </c>
      <c r="D15" s="6">
        <f t="shared" si="4"/>
        <v>2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1</v>
      </c>
    </row>
    <row r="22" spans="1:2" ht="12.75" x14ac:dyDescent="0.35">
      <c r="A22" s="13" t="s">
        <v>28</v>
      </c>
      <c r="B22" s="13">
        <f>$B$17*$B$20*$B$21</f>
        <v>105000</v>
      </c>
    </row>
  </sheetData>
  <phoneticPr fontId="3"/>
  <conditionalFormatting sqref="G2:G12">
    <cfRule type="notContainsText" dxfId="7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2300-000000000000}">
      <formula1>"35,000,25,000"</formula1>
    </dataValidation>
    <dataValidation type="list" allowBlank="1" showErrorMessage="1" sqref="B18" xr:uid="{00000000-0002-0000-23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23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1</v>
      </c>
      <c r="E1" s="6" t="s">
        <v>7</v>
      </c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29300</v>
      </c>
      <c r="C2" s="7">
        <v>42500</v>
      </c>
      <c r="D2" s="7">
        <v>21100</v>
      </c>
      <c r="E2" s="7">
        <v>7100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-4100</v>
      </c>
      <c r="C3" s="7">
        <v>45000</v>
      </c>
      <c r="D3" s="7">
        <v>14100</v>
      </c>
      <c r="E3" s="7">
        <v>45000</v>
      </c>
      <c r="F3" s="8">
        <f t="shared" si="0"/>
        <v>100000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25200</v>
      </c>
      <c r="C12" s="8">
        <f t="shared" si="1"/>
        <v>87500</v>
      </c>
      <c r="D12" s="8">
        <f t="shared" si="1"/>
        <v>35200</v>
      </c>
      <c r="E12" s="8">
        <f>IF(COUNTA(E$1), SUM(E$2:E$11), "-")</f>
        <v>52100</v>
      </c>
      <c r="F12" s="8">
        <f t="shared" si="0"/>
        <v>200000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-24800</v>
      </c>
      <c r="C13" s="8">
        <f t="shared" si="2"/>
        <v>37500</v>
      </c>
      <c r="D13" s="8">
        <f t="shared" si="2"/>
        <v>-14800</v>
      </c>
      <c r="E13" s="8">
        <f>IF(COUNTA(E$1), E12-$B17*$B$21, "-")</f>
        <v>2100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-2480</v>
      </c>
      <c r="C14" s="10">
        <f t="shared" si="3"/>
        <v>3750</v>
      </c>
      <c r="D14" s="10">
        <f t="shared" si="3"/>
        <v>-1480</v>
      </c>
      <c r="E14" s="10">
        <f>IF(COUNTA(E$1), E$13*$B$18, "-")</f>
        <v>210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4</v>
      </c>
      <c r="C15" s="6">
        <f t="shared" si="4"/>
        <v>1</v>
      </c>
      <c r="D15" s="6">
        <f t="shared" si="4"/>
        <v>3</v>
      </c>
      <c r="E15" s="6">
        <f>IF(COUNTA(E$1), RANK(E$14, $B$14:$E$14), "-")</f>
        <v>2</v>
      </c>
      <c r="F15" s="8">
        <f t="shared" si="0"/>
        <v>10</v>
      </c>
      <c r="G15" s="6" t="s">
        <v>21</v>
      </c>
    </row>
    <row r="17" spans="1:2" ht="12.75" x14ac:dyDescent="0.35">
      <c r="A17" s="11" t="s">
        <v>24</v>
      </c>
      <c r="B17" s="12">
        <v>25000</v>
      </c>
    </row>
    <row r="18" spans="1:2" ht="12.75" x14ac:dyDescent="0.35">
      <c r="A18" s="11" t="s">
        <v>25</v>
      </c>
      <c r="B18" s="11">
        <v>0.1</v>
      </c>
    </row>
    <row r="20" spans="1:2" ht="12.75" x14ac:dyDescent="0.35">
      <c r="A20" s="13" t="s">
        <v>26</v>
      </c>
      <c r="B20" s="13">
        <f>COUNTA($B$1:$E$1)</f>
        <v>4</v>
      </c>
    </row>
    <row r="21" spans="1:2" ht="12.75" x14ac:dyDescent="0.35">
      <c r="A21" s="13" t="s">
        <v>27</v>
      </c>
      <c r="B21" s="13">
        <f>COUNT($B$2:$B$11)</f>
        <v>2</v>
      </c>
    </row>
    <row r="22" spans="1:2" ht="12.75" x14ac:dyDescent="0.35">
      <c r="A22" s="13" t="s">
        <v>28</v>
      </c>
      <c r="B22" s="13">
        <f>$B$17*$B$20*$B$21</f>
        <v>200000</v>
      </c>
    </row>
  </sheetData>
  <phoneticPr fontId="3"/>
  <conditionalFormatting sqref="G2:G12">
    <cfRule type="notContainsText" dxfId="6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2400-000000000000}">
      <formula1>"35,000,25,000"</formula1>
    </dataValidation>
    <dataValidation type="list" allowBlank="1" showErrorMessage="1" sqref="B18" xr:uid="{00000000-0002-0000-24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24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1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9000</v>
      </c>
      <c r="C2" s="7">
        <v>62000</v>
      </c>
      <c r="D2" s="7">
        <v>34000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49000</v>
      </c>
      <c r="C3" s="7">
        <v>33000</v>
      </c>
      <c r="D3" s="7">
        <v>23000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66000</v>
      </c>
      <c r="C4" s="7">
        <v>43000</v>
      </c>
      <c r="D4" s="7">
        <v>-4000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>
        <v>-19000</v>
      </c>
      <c r="C5" s="7">
        <v>14000</v>
      </c>
      <c r="D5" s="7">
        <v>110000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>
        <v>110000</v>
      </c>
      <c r="C6" s="7">
        <v>-12000</v>
      </c>
      <c r="D6" s="7">
        <v>7000</v>
      </c>
      <c r="E6" s="7"/>
      <c r="F6" s="8">
        <f t="shared" si="0"/>
        <v>105000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>
        <v>-4000</v>
      </c>
      <c r="C7" s="7">
        <v>66000</v>
      </c>
      <c r="D7" s="7">
        <v>43000</v>
      </c>
      <c r="E7" s="7"/>
      <c r="F7" s="8">
        <f t="shared" si="0"/>
        <v>105000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>
        <v>61000</v>
      </c>
      <c r="C8" s="7">
        <v>49000</v>
      </c>
      <c r="D8" s="7">
        <v>-5000</v>
      </c>
      <c r="E8" s="7"/>
      <c r="F8" s="8">
        <f t="shared" si="0"/>
        <v>105000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272000</v>
      </c>
      <c r="C12" s="8">
        <f t="shared" si="1"/>
        <v>255000</v>
      </c>
      <c r="D12" s="8">
        <f t="shared" si="1"/>
        <v>208000</v>
      </c>
      <c r="E12" s="8" t="str">
        <f>IF(COUNTA(E$1), SUM(E$2:E$11), "-")</f>
        <v>-</v>
      </c>
      <c r="F12" s="8">
        <f t="shared" si="0"/>
        <v>735000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27000</v>
      </c>
      <c r="C13" s="8">
        <f t="shared" si="2"/>
        <v>10000</v>
      </c>
      <c r="D13" s="8">
        <f t="shared" si="2"/>
        <v>-37000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1350</v>
      </c>
      <c r="C14" s="10">
        <f t="shared" si="3"/>
        <v>500</v>
      </c>
      <c r="D14" s="10">
        <f t="shared" si="3"/>
        <v>-1850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1</v>
      </c>
      <c r="C15" s="6">
        <f t="shared" si="4"/>
        <v>2</v>
      </c>
      <c r="D15" s="6">
        <f t="shared" si="4"/>
        <v>3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7</v>
      </c>
    </row>
    <row r="22" spans="1:2" ht="12.75" x14ac:dyDescent="0.35">
      <c r="A22" s="13" t="s">
        <v>28</v>
      </c>
      <c r="B22" s="13">
        <f>$B$17*$B$20*$B$21</f>
        <v>735000</v>
      </c>
    </row>
  </sheetData>
  <phoneticPr fontId="3"/>
  <conditionalFormatting sqref="G2:G12">
    <cfRule type="notContainsText" dxfId="5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2500-000000000000}">
      <formula1>"35,000,25,000"</formula1>
    </dataValidation>
    <dataValidation type="list" allowBlank="1" showErrorMessage="1" sqref="B18" xr:uid="{00000000-0002-0000-25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25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1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54000</v>
      </c>
      <c r="C2" s="7">
        <v>25000</v>
      </c>
      <c r="D2" s="7">
        <v>26000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76000</v>
      </c>
      <c r="C3" s="7">
        <v>-7000</v>
      </c>
      <c r="D3" s="7">
        <v>36000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10000</v>
      </c>
      <c r="C4" s="7">
        <v>47000</v>
      </c>
      <c r="D4" s="7">
        <v>48000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>
        <v>42000</v>
      </c>
      <c r="C5" s="7">
        <v>40000</v>
      </c>
      <c r="D5" s="7">
        <v>23000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>
        <v>51000</v>
      </c>
      <c r="C6" s="7">
        <v>8000</v>
      </c>
      <c r="D6" s="7">
        <v>46000</v>
      </c>
      <c r="E6" s="7"/>
      <c r="F6" s="8">
        <f t="shared" si="0"/>
        <v>105000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 t="s">
        <v>32</v>
      </c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233000</v>
      </c>
      <c r="C12" s="8">
        <f t="shared" si="1"/>
        <v>113000</v>
      </c>
      <c r="D12" s="8">
        <f t="shared" si="1"/>
        <v>179000</v>
      </c>
      <c r="E12" s="8" t="str">
        <f>IF(COUNTA(E$1), SUM(E$2:E$11), "-")</f>
        <v>-</v>
      </c>
      <c r="F12" s="8">
        <f t="shared" si="0"/>
        <v>525000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58000</v>
      </c>
      <c r="C13" s="8">
        <f t="shared" si="2"/>
        <v>-62000</v>
      </c>
      <c r="D13" s="8">
        <f t="shared" si="2"/>
        <v>4000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2900</v>
      </c>
      <c r="C14" s="10">
        <f t="shared" si="3"/>
        <v>-3100</v>
      </c>
      <c r="D14" s="10">
        <f t="shared" si="3"/>
        <v>200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1</v>
      </c>
      <c r="C15" s="6">
        <f t="shared" si="4"/>
        <v>3</v>
      </c>
      <c r="D15" s="6">
        <f t="shared" si="4"/>
        <v>2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5</v>
      </c>
    </row>
    <row r="22" spans="1:2" ht="12.75" x14ac:dyDescent="0.35">
      <c r="A22" s="13" t="s">
        <v>28</v>
      </c>
      <c r="B22" s="13">
        <f>$B$17*$B$20*$B$21</f>
        <v>525000</v>
      </c>
    </row>
  </sheetData>
  <phoneticPr fontId="3"/>
  <conditionalFormatting sqref="G2:G12">
    <cfRule type="notContainsText" dxfId="4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2600-000000000000}">
      <formula1>"35,000,25,000"</formula1>
    </dataValidation>
    <dataValidation type="list" allowBlank="1" showErrorMessage="1" sqref="B18" xr:uid="{00000000-0002-0000-26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26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4</v>
      </c>
      <c r="C1" s="6" t="s">
        <v>3</v>
      </c>
      <c r="D1" s="6" t="s">
        <v>1</v>
      </c>
      <c r="E1" s="6" t="s">
        <v>2</v>
      </c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34100</v>
      </c>
      <c r="C2" s="7">
        <v>52300</v>
      </c>
      <c r="D2" s="7">
        <v>17000</v>
      </c>
      <c r="E2" s="7">
        <v>-3400</v>
      </c>
      <c r="F2" s="8">
        <f t="shared" ref="F2:F15" si="0">SUM($B2:$E2)</f>
        <v>100000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15500</v>
      </c>
      <c r="C3" s="7">
        <v>38800</v>
      </c>
      <c r="D3" s="7">
        <v>38600</v>
      </c>
      <c r="E3" s="7">
        <v>7100</v>
      </c>
      <c r="F3" s="8">
        <f t="shared" si="0"/>
        <v>100000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24000</v>
      </c>
      <c r="C4" s="7">
        <v>19500</v>
      </c>
      <c r="D4" s="7">
        <v>38500</v>
      </c>
      <c r="E4" s="7">
        <v>18000</v>
      </c>
      <c r="F4" s="8">
        <f t="shared" si="0"/>
        <v>100000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 t="s">
        <v>32</v>
      </c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73600</v>
      </c>
      <c r="C12" s="8">
        <f t="shared" si="1"/>
        <v>110600</v>
      </c>
      <c r="D12" s="8">
        <f t="shared" si="1"/>
        <v>94100</v>
      </c>
      <c r="E12" s="8">
        <f>IF(COUNTA(E$1), SUM(E$2:E$11), "-")</f>
        <v>21700</v>
      </c>
      <c r="F12" s="8">
        <f t="shared" si="0"/>
        <v>300000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-1400</v>
      </c>
      <c r="C13" s="8">
        <f t="shared" si="2"/>
        <v>35600</v>
      </c>
      <c r="D13" s="8">
        <f t="shared" si="2"/>
        <v>19100</v>
      </c>
      <c r="E13" s="8">
        <f>IF(COUNTA(E$1), E12-$B17*$B$21, "-")</f>
        <v>-53300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-140</v>
      </c>
      <c r="C14" s="10">
        <f t="shared" si="3"/>
        <v>3560</v>
      </c>
      <c r="D14" s="10">
        <f t="shared" si="3"/>
        <v>1910</v>
      </c>
      <c r="E14" s="10">
        <f>IF(COUNTA(E$1), E$13*$B$18, "-")</f>
        <v>-5330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3</v>
      </c>
      <c r="C15" s="6">
        <f t="shared" si="4"/>
        <v>1</v>
      </c>
      <c r="D15" s="6">
        <f t="shared" si="4"/>
        <v>2</v>
      </c>
      <c r="E15" s="6">
        <f>IF(COUNTA(E$1), RANK(E$14, $B$14:$E$14), "-")</f>
        <v>4</v>
      </c>
      <c r="F15" s="8">
        <f t="shared" si="0"/>
        <v>10</v>
      </c>
      <c r="G15" s="6" t="s">
        <v>21</v>
      </c>
    </row>
    <row r="17" spans="1:2" ht="12.75" x14ac:dyDescent="0.35">
      <c r="A17" s="11" t="s">
        <v>24</v>
      </c>
      <c r="B17" s="12">
        <v>25000</v>
      </c>
    </row>
    <row r="18" spans="1:2" ht="12.75" x14ac:dyDescent="0.35">
      <c r="A18" s="11" t="s">
        <v>25</v>
      </c>
      <c r="B18" s="11">
        <v>0.1</v>
      </c>
    </row>
    <row r="20" spans="1:2" ht="12.75" x14ac:dyDescent="0.35">
      <c r="A20" s="13" t="s">
        <v>26</v>
      </c>
      <c r="B20" s="13">
        <f>COUNTA($B$1:$E$1)</f>
        <v>4</v>
      </c>
    </row>
    <row r="21" spans="1:2" ht="12.75" x14ac:dyDescent="0.35">
      <c r="A21" s="13" t="s">
        <v>27</v>
      </c>
      <c r="B21" s="13">
        <f>COUNT($B$2:$B$11)</f>
        <v>3</v>
      </c>
    </row>
    <row r="22" spans="1:2" ht="12.75" x14ac:dyDescent="0.35">
      <c r="A22" s="13" t="s">
        <v>28</v>
      </c>
      <c r="B22" s="13">
        <f>$B$17*$B$20*$B$21</f>
        <v>300000</v>
      </c>
    </row>
  </sheetData>
  <phoneticPr fontId="3"/>
  <conditionalFormatting sqref="G2:G12">
    <cfRule type="notContainsText" dxfId="3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2700-000000000000}">
      <formula1>"35,000,25,000"</formula1>
    </dataValidation>
    <dataValidation type="list" allowBlank="1" showErrorMessage="1" sqref="B18" xr:uid="{00000000-0002-0000-27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27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G22"/>
  <sheetViews>
    <sheetView workbookViewId="0"/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3</v>
      </c>
      <c r="C1" s="6" t="s">
        <v>4</v>
      </c>
      <c r="D1" s="6" t="s">
        <v>1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-15000</v>
      </c>
      <c r="C2" s="7">
        <v>61000</v>
      </c>
      <c r="D2" s="7">
        <v>59000</v>
      </c>
      <c r="E2" s="7"/>
      <c r="F2" s="8">
        <f t="shared" ref="F2:F15" si="0">SUM($B2:$E2)</f>
        <v>105000</v>
      </c>
      <c r="G2" s="9" t="e">
        <f ca="1">_xludf.IFS(COUNT($B2:$E2)=0, "", $F2&gt;$B$17*$B$20, マスタ!$A$2, $F2&lt;$B$17*$B$20, マスタ!$A$3, TRUE, "正常")</f>
        <v>#NAME?</v>
      </c>
    </row>
    <row r="3" spans="1:7" ht="12.75" x14ac:dyDescent="0.35">
      <c r="A3" s="6" t="s">
        <v>11</v>
      </c>
      <c r="B3" s="7">
        <v>57000</v>
      </c>
      <c r="C3" s="7">
        <v>50000</v>
      </c>
      <c r="D3" s="7">
        <v>-2000</v>
      </c>
      <c r="E3" s="7"/>
      <c r="F3" s="8">
        <f t="shared" si="0"/>
        <v>105000</v>
      </c>
      <c r="G3" s="9" t="e">
        <f ca="1">_xludf.IFS(COUNT($B3:$E3)=0, "", $F3&gt;$B$17*$B$20, マスタ!$A$2, $F3&lt;$B$17*$B$20, マスタ!$A$3, TRUE, "正常")</f>
        <v>#NAME?</v>
      </c>
    </row>
    <row r="4" spans="1:7" ht="12.75" x14ac:dyDescent="0.35">
      <c r="A4" s="6" t="s">
        <v>12</v>
      </c>
      <c r="B4" s="7">
        <v>75000</v>
      </c>
      <c r="C4" s="7">
        <v>36000</v>
      </c>
      <c r="D4" s="7">
        <v>-6000</v>
      </c>
      <c r="E4" s="7"/>
      <c r="F4" s="8">
        <f t="shared" si="0"/>
        <v>105000</v>
      </c>
      <c r="G4" s="9" t="e">
        <f ca="1">_xludf.IFS(COUNT($B4:$E4)=0, "", $F4&gt;$B$17*$B$20, マスタ!$A$2, $F4&lt;$B$17*$B$20, マスタ!$A$3, TRUE, "正常")</f>
        <v>#NAME?</v>
      </c>
    </row>
    <row r="5" spans="1:7" ht="12.75" x14ac:dyDescent="0.35">
      <c r="A5" s="6" t="s">
        <v>13</v>
      </c>
      <c r="B5" s="7">
        <v>62000</v>
      </c>
      <c r="C5" s="7">
        <v>56000</v>
      </c>
      <c r="D5" s="7">
        <v>-13000</v>
      </c>
      <c r="E5" s="7"/>
      <c r="F5" s="8">
        <f t="shared" si="0"/>
        <v>105000</v>
      </c>
      <c r="G5" s="9" t="e">
        <f ca="1">_xludf.IFS(COUNT($B5:$E5)=0, "", $F5&gt;$B$17*$B$20, マスタ!$A$2, $F5&lt;$B$17*$B$20, マスタ!$A$3, TRUE, "正常")</f>
        <v>#NAME?</v>
      </c>
    </row>
    <row r="6" spans="1:7" ht="12.75" x14ac:dyDescent="0.35">
      <c r="A6" s="6" t="s">
        <v>14</v>
      </c>
      <c r="B6" s="7">
        <v>70000</v>
      </c>
      <c r="C6" s="7">
        <v>27000</v>
      </c>
      <c r="D6" s="7">
        <v>8000</v>
      </c>
      <c r="E6" s="7"/>
      <c r="F6" s="8">
        <f t="shared" si="0"/>
        <v>105000</v>
      </c>
      <c r="G6" s="9" t="e">
        <f ca="1">_xludf.IFS(COUNT($B6:$E6)=0, "", $F6&gt;$B$17*$B$20, マスタ!$A$2, $F6&lt;$B$17*$B$20, マスタ!$A$3, TRUE, "正常")</f>
        <v>#NAME?</v>
      </c>
    </row>
    <row r="7" spans="1:7" ht="12.75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ht="12.75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ht="12.75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ht="12.75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ht="16.5" customHeight="1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ht="14.25" customHeight="1" x14ac:dyDescent="0.35">
      <c r="A12" s="6" t="s">
        <v>8</v>
      </c>
      <c r="B12" s="8">
        <f t="shared" ref="B12:D12" si="1">SUM(B$2:B$11)</f>
        <v>249000</v>
      </c>
      <c r="C12" s="8">
        <f t="shared" si="1"/>
        <v>230000</v>
      </c>
      <c r="D12" s="8">
        <f t="shared" si="1"/>
        <v>46000</v>
      </c>
      <c r="E12" s="8" t="str">
        <f>IF(COUNTA(E$1), SUM(E$2:E$11), "-")</f>
        <v>-</v>
      </c>
      <c r="F12" s="8">
        <f t="shared" si="0"/>
        <v>525000</v>
      </c>
      <c r="G12" s="9" t="e">
        <f ca="1">_xludf.IFS($F$12&gt;$B$17*$B$20*$B$21, マスタ!$A$2, $F$12&lt;$B$17*$B$20*$B$21, マスタ!$A$3, TRUE, "正常")</f>
        <v>#NAME?</v>
      </c>
    </row>
    <row r="13" spans="1:7" ht="13.5" customHeight="1" x14ac:dyDescent="0.35">
      <c r="A13" s="6" t="s">
        <v>20</v>
      </c>
      <c r="B13" s="8">
        <f t="shared" ref="B13:D13" si="2">B12-$B17*$B$21</f>
        <v>74000</v>
      </c>
      <c r="C13" s="8">
        <f t="shared" si="2"/>
        <v>55000</v>
      </c>
      <c r="D13" s="8">
        <f t="shared" si="2"/>
        <v>-129000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ht="13.5" customHeight="1" x14ac:dyDescent="0.35">
      <c r="A14" s="10" t="s">
        <v>22</v>
      </c>
      <c r="B14" s="10">
        <f t="shared" ref="B14:D14" si="3">B$13*$B$18</f>
        <v>3700</v>
      </c>
      <c r="C14" s="10">
        <f t="shared" si="3"/>
        <v>2750</v>
      </c>
      <c r="D14" s="10">
        <f t="shared" si="3"/>
        <v>-6450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ht="13.5" customHeight="1" x14ac:dyDescent="0.35">
      <c r="A15" s="6" t="s">
        <v>23</v>
      </c>
      <c r="B15" s="6">
        <f t="shared" ref="B15:D15" si="4">RANK(B$14, $B$14:$E$14)</f>
        <v>1</v>
      </c>
      <c r="C15" s="6">
        <f t="shared" si="4"/>
        <v>2</v>
      </c>
      <c r="D15" s="6">
        <f t="shared" si="4"/>
        <v>3</v>
      </c>
      <c r="E15" s="6" t="str">
        <f>IF(COUNTA(E$1), RANK(E$14, $B$14:$E$14), "-")</f>
        <v>-</v>
      </c>
      <c r="F15" s="8">
        <f t="shared" si="0"/>
        <v>6</v>
      </c>
      <c r="G15" s="6" t="s">
        <v>21</v>
      </c>
    </row>
    <row r="17" spans="1:2" ht="12.75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20" spans="1:2" ht="12.75" x14ac:dyDescent="0.35">
      <c r="A20" s="13" t="s">
        <v>26</v>
      </c>
      <c r="B20" s="13">
        <f>COUNTA($B$1:$E$1)</f>
        <v>3</v>
      </c>
    </row>
    <row r="21" spans="1:2" ht="12.75" x14ac:dyDescent="0.35">
      <c r="A21" s="13" t="s">
        <v>27</v>
      </c>
      <c r="B21" s="13">
        <f>COUNT($B$2:$B$11)</f>
        <v>5</v>
      </c>
    </row>
    <row r="22" spans="1:2" ht="12.75" x14ac:dyDescent="0.35">
      <c r="A22" s="13" t="s">
        <v>28</v>
      </c>
      <c r="B22" s="13">
        <f>$B$17*$B$20*$B$21</f>
        <v>525000</v>
      </c>
    </row>
  </sheetData>
  <phoneticPr fontId="3"/>
  <conditionalFormatting sqref="G2:G12">
    <cfRule type="notContainsText" dxfId="2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2800-000000000000}">
      <formula1>"35,000,25,000"</formula1>
    </dataValidation>
    <dataValidation type="list" allowBlank="1" showErrorMessage="1" sqref="B18" xr:uid="{00000000-0002-0000-28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28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G23"/>
  <sheetViews>
    <sheetView workbookViewId="0">
      <selection activeCell="D18" sqref="D18"/>
    </sheetView>
  </sheetViews>
  <sheetFormatPr defaultColWidth="12.59765625" defaultRowHeight="15.75" customHeight="1" x14ac:dyDescent="0.35"/>
  <sheetData>
    <row r="1" spans="1:7" ht="12.75" x14ac:dyDescent="0.35">
      <c r="A1" s="6" t="s">
        <v>6</v>
      </c>
      <c r="B1" s="6" t="s">
        <v>3</v>
      </c>
      <c r="C1" s="6" t="s">
        <v>4</v>
      </c>
      <c r="D1" s="6" t="s">
        <v>1</v>
      </c>
      <c r="E1" s="6"/>
      <c r="F1" s="6" t="s">
        <v>8</v>
      </c>
      <c r="G1" s="6" t="s">
        <v>9</v>
      </c>
    </row>
    <row r="2" spans="1:7" ht="12.75" x14ac:dyDescent="0.35">
      <c r="A2" s="6" t="s">
        <v>10</v>
      </c>
      <c r="B2" s="7">
        <v>9000</v>
      </c>
      <c r="C2" s="7">
        <v>42000</v>
      </c>
      <c r="D2" s="7">
        <v>54000</v>
      </c>
      <c r="E2" s="7"/>
      <c r="F2" s="8">
        <f t="shared" ref="F2:F16" si="0">SUM($B2:$E2)</f>
        <v>105000</v>
      </c>
      <c r="G2" s="9" t="e">
        <f ca="1">_xludf.IFS(COUNT($B2:$E2)=0, "", $F2&gt;$B$17*$B$21, マスタ!$A$2, $F2&lt;$B$17*$B$21, マスタ!$A$3, TRUE, "正常")</f>
        <v>#NAME?</v>
      </c>
    </row>
    <row r="3" spans="1:7" ht="12.75" x14ac:dyDescent="0.35">
      <c r="A3" s="6" t="s">
        <v>11</v>
      </c>
      <c r="B3" s="7">
        <v>-3000</v>
      </c>
      <c r="C3" s="7">
        <v>74000</v>
      </c>
      <c r="D3" s="7">
        <v>34000</v>
      </c>
      <c r="E3" s="7"/>
      <c r="F3" s="8">
        <f t="shared" si="0"/>
        <v>105000</v>
      </c>
      <c r="G3" s="9" t="e">
        <f ca="1">_xludf.IFS(COUNT($B3:$E3)=0, "", $F3&gt;$B$17*$B$21, マスタ!$A$2, $F3&lt;$B$17*$B$21, マスタ!$A$3, TRUE, "正常")</f>
        <v>#NAME?</v>
      </c>
    </row>
    <row r="4" spans="1:7" ht="12.75" x14ac:dyDescent="0.35">
      <c r="A4" s="6" t="s">
        <v>12</v>
      </c>
      <c r="B4" s="7">
        <v>58000</v>
      </c>
      <c r="C4" s="7">
        <v>17000</v>
      </c>
      <c r="D4" s="7">
        <v>30000</v>
      </c>
      <c r="E4" s="7"/>
      <c r="F4" s="8">
        <f t="shared" si="0"/>
        <v>105000</v>
      </c>
      <c r="G4" s="9" t="e">
        <f ca="1">_xludf.IFS(COUNT($B4:$E4)=0, "", $F4&gt;$B$17*$B$21, マスタ!$A$2, $F4&lt;$B$17*$B$21, マスタ!$A$3, TRUE, "正常")</f>
        <v>#NAME?</v>
      </c>
    </row>
    <row r="5" spans="1:7" ht="12.75" x14ac:dyDescent="0.35">
      <c r="A5" s="6" t="s">
        <v>13</v>
      </c>
      <c r="B5" s="7">
        <v>31000</v>
      </c>
      <c r="C5" s="7">
        <v>40000</v>
      </c>
      <c r="D5" s="7">
        <v>34000</v>
      </c>
      <c r="E5" s="7"/>
      <c r="F5" s="8">
        <f t="shared" si="0"/>
        <v>105000</v>
      </c>
      <c r="G5" s="9" t="e">
        <f ca="1">_xludf.IFS(COUNT($B5:$E5)=0, "", $F5&gt;$B$17*$B$21, マスタ!$A$2, $F5&lt;$B$17*$B$21, マスタ!$A$3, TRUE, "正常")</f>
        <v>#NAME?</v>
      </c>
    </row>
    <row r="6" spans="1:7" ht="12.75" x14ac:dyDescent="0.35">
      <c r="A6" s="6" t="s">
        <v>14</v>
      </c>
      <c r="B6" s="7">
        <v>19000</v>
      </c>
      <c r="C6" s="7">
        <v>24000</v>
      </c>
      <c r="D6" s="7">
        <v>62000</v>
      </c>
      <c r="E6" s="7"/>
      <c r="F6" s="8">
        <f t="shared" si="0"/>
        <v>105000</v>
      </c>
      <c r="G6" s="9" t="e">
        <f ca="1">_xludf.IFS(COUNT($B6:$E6)=0, "", $F6&gt;$B$17*$B$21, マスタ!$A$2, $F6&lt;$B$17*$B$21, マスタ!$A$3, TRUE, "正常")</f>
        <v>#NAME?</v>
      </c>
    </row>
    <row r="7" spans="1:7" ht="12.75" x14ac:dyDescent="0.35">
      <c r="A7" s="6" t="s">
        <v>15</v>
      </c>
      <c r="B7" s="7">
        <v>35000</v>
      </c>
      <c r="C7" s="7">
        <v>83000</v>
      </c>
      <c r="D7" s="7">
        <v>-13000</v>
      </c>
      <c r="E7" s="7"/>
      <c r="F7" s="8">
        <f t="shared" si="0"/>
        <v>105000</v>
      </c>
      <c r="G7" s="9" t="e">
        <f ca="1">_xludf.IFS(COUNT($B7:$E7)=0, "", $F7&gt;$B$17*$B$21, マスタ!$A$2, $F7&lt;$B$17*$B$21, マスタ!$A$3, TRUE, "正常")</f>
        <v>#NAME?</v>
      </c>
    </row>
    <row r="8" spans="1:7" ht="12.75" x14ac:dyDescent="0.35">
      <c r="A8" s="6" t="s">
        <v>16</v>
      </c>
      <c r="B8" s="7">
        <v>70000</v>
      </c>
      <c r="C8" s="7">
        <v>-7000</v>
      </c>
      <c r="D8" s="7">
        <v>42000</v>
      </c>
      <c r="E8" s="7"/>
      <c r="F8" s="8">
        <f t="shared" si="0"/>
        <v>105000</v>
      </c>
      <c r="G8" s="9" t="e">
        <f ca="1">_xludf.IFS(COUNT($B8:$E8)=0, "", $F8&gt;$B$17*$B$21, マスタ!$A$2, $F8&lt;$B$17*$B$21, マスタ!$A$3, TRUE, "正常")</f>
        <v>#NAME?</v>
      </c>
    </row>
    <row r="9" spans="1:7" ht="12.75" x14ac:dyDescent="0.35">
      <c r="A9" s="6" t="s">
        <v>17</v>
      </c>
      <c r="B9" s="7">
        <v>78000</v>
      </c>
      <c r="C9" s="7">
        <v>39000</v>
      </c>
      <c r="D9" s="7">
        <v>-12000</v>
      </c>
      <c r="E9" s="7"/>
      <c r="F9" s="8">
        <f t="shared" si="0"/>
        <v>105000</v>
      </c>
      <c r="G9" s="9" t="e">
        <f ca="1">_xludf.IFS(COUNT($B9:$E9)=0, "", $F9&gt;$B$17*$B$21, マスタ!$A$2, $F9&lt;$B$17*$B$21, マスタ!$A$3, TRUE, "正常")</f>
        <v>#NAME?</v>
      </c>
    </row>
    <row r="10" spans="1:7" ht="12.75" x14ac:dyDescent="0.35">
      <c r="A10" s="6" t="s">
        <v>18</v>
      </c>
      <c r="B10" s="7">
        <v>44000</v>
      </c>
      <c r="C10" s="7">
        <v>47000</v>
      </c>
      <c r="D10" s="7">
        <v>14000</v>
      </c>
      <c r="E10" s="7"/>
      <c r="F10" s="8">
        <f t="shared" si="0"/>
        <v>105000</v>
      </c>
      <c r="G10" s="9" t="e">
        <f ca="1">_xludf.IFS(COUNT($B10:$E10)=0, "", $F10&gt;$B$17*$B$21, マスタ!$A$2, $F10&lt;$B$17*$B$21, マスタ!$A$3, TRUE, "正常")</f>
        <v>#NAME?</v>
      </c>
    </row>
    <row r="11" spans="1:7" ht="16.5" customHeight="1" x14ac:dyDescent="0.35">
      <c r="A11" s="6" t="s">
        <v>19</v>
      </c>
      <c r="B11" s="7">
        <v>51000</v>
      </c>
      <c r="C11" s="7">
        <v>13000</v>
      </c>
      <c r="D11" s="7">
        <v>41000</v>
      </c>
      <c r="E11" s="7"/>
      <c r="F11" s="8">
        <f t="shared" si="0"/>
        <v>105000</v>
      </c>
      <c r="G11" s="9" t="e">
        <f ca="1">_xludf.IFS(COUNT($B11:$E11)=0, "", $F11&gt;$B$17*$B$21, マスタ!$A$2, $F11&lt;$B$17*$B$21, マスタ!$A$3, TRUE, "正常")</f>
        <v>#NAME?</v>
      </c>
    </row>
    <row r="12" spans="1:7" ht="16.5" customHeight="1" x14ac:dyDescent="0.35">
      <c r="A12" s="6" t="s">
        <v>33</v>
      </c>
      <c r="B12" s="7">
        <v>27000</v>
      </c>
      <c r="C12" s="7">
        <v>10000</v>
      </c>
      <c r="D12" s="7">
        <v>68000</v>
      </c>
      <c r="E12" s="7"/>
      <c r="F12" s="8">
        <f t="shared" si="0"/>
        <v>105000</v>
      </c>
      <c r="G12" s="9" t="e">
        <f ca="1">_xludf.IFS(COUNT($B12:$E12)=0, "", $F12&gt;$B$17*$B$21, マスタ!$A$2, $F12&lt;$B$17*$B$21, マスタ!$A$3, TRUE, "正常")</f>
        <v>#NAME?</v>
      </c>
    </row>
    <row r="13" spans="1:7" ht="14.25" customHeight="1" x14ac:dyDescent="0.35">
      <c r="A13" s="6" t="s">
        <v>8</v>
      </c>
      <c r="B13" s="8">
        <f t="shared" ref="B13:D13" si="1">SUM(B$2:B$11)</f>
        <v>392000</v>
      </c>
      <c r="C13" s="8">
        <f t="shared" si="1"/>
        <v>372000</v>
      </c>
      <c r="D13" s="8">
        <f t="shared" si="1"/>
        <v>286000</v>
      </c>
      <c r="E13" s="8" t="str">
        <f>IF(COUNTA(E$1), SUM(E$2:E$11), "-")</f>
        <v>-</v>
      </c>
      <c r="F13" s="8">
        <f t="shared" si="0"/>
        <v>1050000</v>
      </c>
      <c r="G13" s="9" t="e">
        <f ca="1">_xludf.IFS($F$13&gt;$B$17*$B$21*$B$22, マスタ!$A$2, $F$13&lt;$B$17*$B$21*$B$22, マスタ!$A$3, TRUE, "正常")</f>
        <v>#NAME?</v>
      </c>
    </row>
    <row r="14" spans="1:7" ht="13.5" customHeight="1" x14ac:dyDescent="0.35">
      <c r="A14" s="6" t="s">
        <v>20</v>
      </c>
      <c r="B14" s="8">
        <f>B13-$B17*$B$22</f>
        <v>42000</v>
      </c>
      <c r="C14" s="8">
        <f>C13-$B17*$B$22</f>
        <v>22000</v>
      </c>
      <c r="D14" s="8">
        <f>D13-$B17*$B$22</f>
        <v>-64000</v>
      </c>
      <c r="E14" s="6" t="str">
        <f>IF(COUNTA(E$1), E13-$B17*$B$22, "-")</f>
        <v>-</v>
      </c>
      <c r="F14" s="8">
        <f t="shared" si="0"/>
        <v>0</v>
      </c>
      <c r="G14" s="6" t="s">
        <v>21</v>
      </c>
    </row>
    <row r="15" spans="1:7" ht="13.5" customHeight="1" x14ac:dyDescent="0.35">
      <c r="A15" s="10" t="s">
        <v>22</v>
      </c>
      <c r="B15" s="10">
        <f>B$14*$B$18</f>
        <v>2100</v>
      </c>
      <c r="C15" s="10">
        <f>C$14*$B$18</f>
        <v>1100</v>
      </c>
      <c r="D15" s="10">
        <f>D$14*$B$18</f>
        <v>-3200</v>
      </c>
      <c r="E15" s="10" t="str">
        <f>IF(COUNTA(E$1), E$14*$B$18, "-")</f>
        <v>-</v>
      </c>
      <c r="F15" s="8">
        <f t="shared" si="0"/>
        <v>0</v>
      </c>
      <c r="G15" s="10" t="s">
        <v>21</v>
      </c>
    </row>
    <row r="16" spans="1:7" ht="13.5" customHeight="1" x14ac:dyDescent="0.35">
      <c r="A16" s="6" t="s">
        <v>23</v>
      </c>
      <c r="B16" s="6">
        <f t="shared" ref="B16:D16" si="2">RANK(B$15, $B$15:$E$15)</f>
        <v>1</v>
      </c>
      <c r="C16" s="6">
        <f t="shared" si="2"/>
        <v>2</v>
      </c>
      <c r="D16" s="6">
        <f t="shared" si="2"/>
        <v>3</v>
      </c>
      <c r="E16" s="6" t="str">
        <f>IF(COUNTA(E$1), RANK(E$15, $B$15:$E$15), "-")</f>
        <v>-</v>
      </c>
      <c r="F16" s="8">
        <f t="shared" si="0"/>
        <v>6</v>
      </c>
      <c r="G16" s="6" t="s">
        <v>21</v>
      </c>
    </row>
    <row r="17" spans="1:2" ht="15.75" customHeight="1" x14ac:dyDescent="0.35">
      <c r="A17" s="11" t="s">
        <v>24</v>
      </c>
      <c r="B17" s="12">
        <v>35000</v>
      </c>
    </row>
    <row r="18" spans="1:2" ht="12.75" x14ac:dyDescent="0.35">
      <c r="A18" s="11" t="s">
        <v>25</v>
      </c>
      <c r="B18" s="11">
        <v>0.05</v>
      </c>
    </row>
    <row r="19" spans="1:2" ht="12.75" x14ac:dyDescent="0.35"/>
    <row r="21" spans="1:2" ht="12.75" x14ac:dyDescent="0.35">
      <c r="A21" s="13" t="s">
        <v>26</v>
      </c>
      <c r="B21" s="13">
        <f>COUNTA($B$1:$E$1)</f>
        <v>3</v>
      </c>
    </row>
    <row r="22" spans="1:2" ht="12.75" x14ac:dyDescent="0.35">
      <c r="A22" s="13" t="s">
        <v>27</v>
      </c>
      <c r="B22" s="13">
        <f>COUNT($B$2:$B$11)</f>
        <v>10</v>
      </c>
    </row>
    <row r="23" spans="1:2" ht="12.75" x14ac:dyDescent="0.35">
      <c r="A23" s="13" t="s">
        <v>28</v>
      </c>
      <c r="B23" s="13">
        <f>$B$17*$B$21*$B$22</f>
        <v>1050000</v>
      </c>
    </row>
  </sheetData>
  <phoneticPr fontId="3"/>
  <conditionalFormatting sqref="G2:G13">
    <cfRule type="notContainsText" dxfId="1" priority="1" operator="notContains" text="正常">
      <formula>ISERROR(SEARCH(("正常"),(G2)))</formula>
    </cfRule>
  </conditionalFormatting>
  <dataValidations count="2">
    <dataValidation type="list" allowBlank="1" showErrorMessage="1" sqref="B17" xr:uid="{00000000-0002-0000-2900-000000000000}">
      <formula1>"35,000,25,000"</formula1>
    </dataValidation>
    <dataValidation type="list" allowBlank="1" showErrorMessage="1" sqref="B18" xr:uid="{00000000-0002-0000-2900-000002000000}">
      <formula1>"0.05,0.06,0.08,0.1,0.12,0.2"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2900-000001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G22"/>
  <sheetViews>
    <sheetView workbookViewId="0">
      <selection activeCell="I14" sqref="I14"/>
    </sheetView>
  </sheetViews>
  <sheetFormatPr defaultColWidth="12.59765625" defaultRowHeight="15.75" customHeight="1" x14ac:dyDescent="0.35"/>
  <sheetData>
    <row r="1" spans="1:7" x14ac:dyDescent="0.35">
      <c r="A1" s="6" t="s">
        <v>6</v>
      </c>
      <c r="B1" s="6" t="s">
        <v>3</v>
      </c>
      <c r="C1" s="6" t="s">
        <v>4</v>
      </c>
      <c r="D1" s="6" t="s">
        <v>7</v>
      </c>
      <c r="E1" s="6"/>
      <c r="F1" s="6" t="s">
        <v>8</v>
      </c>
      <c r="G1" s="6" t="s">
        <v>9</v>
      </c>
    </row>
    <row r="2" spans="1:7" x14ac:dyDescent="0.35">
      <c r="A2" s="6" t="s">
        <v>10</v>
      </c>
      <c r="B2" s="7"/>
      <c r="C2" s="7"/>
      <c r="D2" s="7"/>
      <c r="E2" s="7"/>
      <c r="F2" s="8">
        <f t="shared" ref="F2:F15" si="0">SUM($B2:$E2)</f>
        <v>0</v>
      </c>
      <c r="G2" s="9" t="e">
        <f ca="1">_xludf.IFS(COUNT($B2:$E2)=0, "", $F2&gt;$B$17*$B$20, マスタ!$A$2, $F2&lt;$B$17*$B$20, マスタ!$A$3, TRUE, "正常")</f>
        <v>#NAME?</v>
      </c>
    </row>
    <row r="3" spans="1:7" x14ac:dyDescent="0.35">
      <c r="A3" s="6" t="s">
        <v>11</v>
      </c>
      <c r="B3" s="7"/>
      <c r="C3" s="7"/>
      <c r="D3" s="7"/>
      <c r="E3" s="7"/>
      <c r="F3" s="8">
        <f t="shared" si="0"/>
        <v>0</v>
      </c>
      <c r="G3" s="9" t="e">
        <f ca="1">_xludf.IFS(COUNT($B3:$E3)=0, "", $F3&gt;$B$17*$B$20, マスタ!$A$2, $F3&lt;$B$17*$B$20, マスタ!$A$3, TRUE, "正常")</f>
        <v>#NAME?</v>
      </c>
    </row>
    <row r="4" spans="1:7" x14ac:dyDescent="0.35">
      <c r="A4" s="6" t="s">
        <v>12</v>
      </c>
      <c r="B4" s="7"/>
      <c r="C4" s="7"/>
      <c r="D4" s="7"/>
      <c r="E4" s="7"/>
      <c r="F4" s="8">
        <f t="shared" si="0"/>
        <v>0</v>
      </c>
      <c r="G4" s="9" t="e">
        <f ca="1">_xludf.IFS(COUNT($B4:$E4)=0, "", $F4&gt;$B$17*$B$20, マスタ!$A$2, $F4&lt;$B$17*$B$20, マスタ!$A$3, TRUE, "正常")</f>
        <v>#NAME?</v>
      </c>
    </row>
    <row r="5" spans="1:7" x14ac:dyDescent="0.35">
      <c r="A5" s="6" t="s">
        <v>13</v>
      </c>
      <c r="B5" s="7"/>
      <c r="C5" s="7"/>
      <c r="D5" s="7"/>
      <c r="E5" s="7"/>
      <c r="F5" s="8">
        <f t="shared" si="0"/>
        <v>0</v>
      </c>
      <c r="G5" s="9" t="e">
        <f ca="1">_xludf.IFS(COUNT($B5:$E5)=0, "", $F5&gt;$B$17*$B$20, マスタ!$A$2, $F5&lt;$B$17*$B$20, マスタ!$A$3, TRUE, "正常")</f>
        <v>#NAME?</v>
      </c>
    </row>
    <row r="6" spans="1:7" x14ac:dyDescent="0.35">
      <c r="A6" s="6" t="s">
        <v>14</v>
      </c>
      <c r="B6" s="7"/>
      <c r="C6" s="7"/>
      <c r="D6" s="7"/>
      <c r="E6" s="7"/>
      <c r="F6" s="8">
        <f t="shared" si="0"/>
        <v>0</v>
      </c>
      <c r="G6" s="9" t="e">
        <f ca="1">_xludf.IFS(COUNT($B6:$E6)=0, "", $F6&gt;$B$17*$B$20, マスタ!$A$2, $F6&lt;$B$17*$B$20, マスタ!$A$3, TRUE, "正常")</f>
        <v>#NAME?</v>
      </c>
    </row>
    <row r="7" spans="1:7" x14ac:dyDescent="0.35">
      <c r="A7" s="6" t="s">
        <v>15</v>
      </c>
      <c r="B7" s="7"/>
      <c r="C7" s="7"/>
      <c r="D7" s="7"/>
      <c r="E7" s="7"/>
      <c r="F7" s="8">
        <f t="shared" si="0"/>
        <v>0</v>
      </c>
      <c r="G7" s="9" t="e">
        <f ca="1">_xludf.IFS(COUNT($B7:$E7)=0, "", $F7&gt;$B$17*$B$20, マスタ!$A$2, $F7&lt;$B$17*$B$20, マスタ!$A$3, TRUE, "正常")</f>
        <v>#NAME?</v>
      </c>
    </row>
    <row r="8" spans="1:7" x14ac:dyDescent="0.35">
      <c r="A8" s="6" t="s">
        <v>16</v>
      </c>
      <c r="B8" s="7"/>
      <c r="C8" s="7"/>
      <c r="D8" s="7"/>
      <c r="E8" s="7"/>
      <c r="F8" s="8">
        <f t="shared" si="0"/>
        <v>0</v>
      </c>
      <c r="G8" s="9" t="e">
        <f ca="1">_xludf.IFS(COUNT($B8:$E8)=0, "", $F8&gt;$B$17*$B$20, マスタ!$A$2, $F8&lt;$B$17*$B$20, マスタ!$A$3, TRUE, "正常")</f>
        <v>#NAME?</v>
      </c>
    </row>
    <row r="9" spans="1:7" x14ac:dyDescent="0.35">
      <c r="A9" s="6" t="s">
        <v>17</v>
      </c>
      <c r="B9" s="7"/>
      <c r="C9" s="7"/>
      <c r="D9" s="7"/>
      <c r="E9" s="7"/>
      <c r="F9" s="8">
        <f t="shared" si="0"/>
        <v>0</v>
      </c>
      <c r="G9" s="9" t="e">
        <f ca="1">_xludf.IFS(COUNT($B9:$E9)=0, "", $F9&gt;$B$17*$B$20, マスタ!$A$2, $F9&lt;$B$17*$B$20, マスタ!$A$3, TRUE, "正常")</f>
        <v>#NAME?</v>
      </c>
    </row>
    <row r="10" spans="1:7" x14ac:dyDescent="0.35">
      <c r="A10" s="6" t="s">
        <v>18</v>
      </c>
      <c r="B10" s="7"/>
      <c r="C10" s="7"/>
      <c r="D10" s="7"/>
      <c r="E10" s="7"/>
      <c r="F10" s="8">
        <f t="shared" si="0"/>
        <v>0</v>
      </c>
      <c r="G10" s="9" t="e">
        <f ca="1">_xludf.IFS(COUNT($B10:$E10)=0, "", $F10&gt;$B$17*$B$20, マスタ!$A$2, $F10&lt;$B$17*$B$20, マスタ!$A$3, TRUE, "正常")</f>
        <v>#NAME?</v>
      </c>
    </row>
    <row r="11" spans="1:7" x14ac:dyDescent="0.35">
      <c r="A11" s="6" t="s">
        <v>19</v>
      </c>
      <c r="B11" s="7"/>
      <c r="C11" s="7"/>
      <c r="D11" s="7"/>
      <c r="E11" s="7"/>
      <c r="F11" s="8">
        <f t="shared" si="0"/>
        <v>0</v>
      </c>
      <c r="G11" s="9" t="e">
        <f ca="1">_xludf.IFS(COUNT($B11:$E11)=0, "", $F11&gt;$B$17*$B$20, マスタ!$A$2, $F11&lt;$B$17*$B$20, マスタ!$A$3, TRUE, "正常")</f>
        <v>#NAME?</v>
      </c>
    </row>
    <row r="12" spans="1:7" x14ac:dyDescent="0.35">
      <c r="A12" s="6" t="s">
        <v>8</v>
      </c>
      <c r="B12" s="8">
        <f t="shared" ref="B12:D12" si="1">SUM(B$2:B$11)</f>
        <v>0</v>
      </c>
      <c r="C12" s="8">
        <f t="shared" si="1"/>
        <v>0</v>
      </c>
      <c r="D12" s="8">
        <f t="shared" si="1"/>
        <v>0</v>
      </c>
      <c r="E12" s="8" t="str">
        <f>IF(COUNTA(E$1), SUM(E$2:E$11), "-")</f>
        <v>-</v>
      </c>
      <c r="F12" s="8">
        <f t="shared" si="0"/>
        <v>0</v>
      </c>
      <c r="G12" s="9" t="e">
        <f ca="1">_xludf.IFS($F$12&gt;$B$17*$B$20*$B$21, マスタ!$A$2, $F$12&lt;$B$17*$B$20*$B$21, マスタ!$A$3, TRUE, "正常")</f>
        <v>#NAME?</v>
      </c>
    </row>
    <row r="13" spans="1:7" x14ac:dyDescent="0.35">
      <c r="A13" s="6" t="s">
        <v>20</v>
      </c>
      <c r="B13" s="8">
        <f t="shared" ref="B13:D13" si="2">B12-$B17*$B$21</f>
        <v>0</v>
      </c>
      <c r="C13" s="8">
        <f t="shared" si="2"/>
        <v>0</v>
      </c>
      <c r="D13" s="8">
        <f t="shared" si="2"/>
        <v>0</v>
      </c>
      <c r="E13" s="6" t="str">
        <f>IF(COUNTA(E$1), E12-$B17*$B$21, "-")</f>
        <v>-</v>
      </c>
      <c r="F13" s="8">
        <f t="shared" si="0"/>
        <v>0</v>
      </c>
      <c r="G13" s="6" t="s">
        <v>21</v>
      </c>
    </row>
    <row r="14" spans="1:7" x14ac:dyDescent="0.35">
      <c r="A14" s="10" t="s">
        <v>22</v>
      </c>
      <c r="B14" s="10">
        <f t="shared" ref="B14:D14" si="3">B$13*$B$18</f>
        <v>0</v>
      </c>
      <c r="C14" s="10">
        <f t="shared" si="3"/>
        <v>0</v>
      </c>
      <c r="D14" s="10">
        <f t="shared" si="3"/>
        <v>0</v>
      </c>
      <c r="E14" s="10" t="str">
        <f>IF(COUNTA(E$1), E$13*$B$18, "-")</f>
        <v>-</v>
      </c>
      <c r="F14" s="8">
        <f t="shared" si="0"/>
        <v>0</v>
      </c>
      <c r="G14" s="10" t="s">
        <v>21</v>
      </c>
    </row>
    <row r="15" spans="1:7" x14ac:dyDescent="0.35">
      <c r="A15" s="6" t="s">
        <v>23</v>
      </c>
      <c r="B15" s="6">
        <f t="shared" ref="B15:D15" si="4">RANK(B$14, $B$14:$E$14)</f>
        <v>1</v>
      </c>
      <c r="C15" s="6">
        <f t="shared" si="4"/>
        <v>1</v>
      </c>
      <c r="D15" s="6">
        <f t="shared" si="4"/>
        <v>1</v>
      </c>
      <c r="E15" s="6" t="str">
        <f>IF(COUNTA(E$1), RANK(E$14, $B$14:$E$14), "-")</f>
        <v>-</v>
      </c>
      <c r="F15" s="8">
        <f t="shared" si="0"/>
        <v>3</v>
      </c>
      <c r="G15" s="6" t="s">
        <v>21</v>
      </c>
    </row>
    <row r="17" spans="1:2" x14ac:dyDescent="0.35">
      <c r="A17" s="11" t="s">
        <v>24</v>
      </c>
      <c r="B17" s="12">
        <v>35000</v>
      </c>
    </row>
    <row r="18" spans="1:2" x14ac:dyDescent="0.35">
      <c r="A18" s="11" t="s">
        <v>25</v>
      </c>
      <c r="B18" s="11">
        <v>0.05</v>
      </c>
    </row>
    <row r="20" spans="1:2" x14ac:dyDescent="0.35">
      <c r="A20" s="13" t="s">
        <v>26</v>
      </c>
      <c r="B20" s="13">
        <f>COUNTA($B$1:$E$1)</f>
        <v>3</v>
      </c>
    </row>
    <row r="21" spans="1:2" x14ac:dyDescent="0.35">
      <c r="A21" s="13" t="s">
        <v>27</v>
      </c>
      <c r="B21" s="13">
        <f>COUNT($B$2:$B$11)</f>
        <v>0</v>
      </c>
    </row>
    <row r="22" spans="1:2" x14ac:dyDescent="0.35">
      <c r="A22" s="13" t="s">
        <v>28</v>
      </c>
      <c r="B22" s="13">
        <f>$B$17*$B$20*$B$21</f>
        <v>0</v>
      </c>
    </row>
  </sheetData>
  <phoneticPr fontId="3"/>
  <conditionalFormatting sqref="G2:G12">
    <cfRule type="notContainsText" dxfId="0" priority="1" operator="notContains" text="正常">
      <formula>ISERROR(SEARCH(("正常"),(G2)))</formula>
    </cfRule>
  </conditionalFormatting>
  <dataValidations count="2">
    <dataValidation type="list" allowBlank="1" showErrorMessage="1" sqref="B18" xr:uid="{00000000-0002-0000-2A00-000000000000}">
      <formula1>"0.05,0.06,0.08,0.1,0.12,0.2"</formula1>
    </dataValidation>
    <dataValidation type="list" allowBlank="1" showErrorMessage="1" sqref="B17" xr:uid="{00000000-0002-0000-2A00-000001000000}">
      <formula1>"35,000,25,000"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2A00-000002000000}">
          <x14:formula1>
            <xm:f>マスタ!$B$2:$B$1000</xm:f>
          </x14:formula1>
          <xm:sqref>B1:E1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B7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cols>
    <col min="1" max="1" width="51.3984375" customWidth="1"/>
    <col min="2" max="2" width="63.46484375" customWidth="1"/>
  </cols>
  <sheetData>
    <row r="1" spans="1:2" x14ac:dyDescent="0.35">
      <c r="A1" s="2" t="s">
        <v>34</v>
      </c>
      <c r="B1" s="2" t="s">
        <v>0</v>
      </c>
    </row>
    <row r="2" spans="1:2" x14ac:dyDescent="0.35">
      <c r="A2" s="2" t="s">
        <v>35</v>
      </c>
      <c r="B2" s="2" t="s">
        <v>1</v>
      </c>
    </row>
    <row r="3" spans="1:2" x14ac:dyDescent="0.35">
      <c r="A3" s="2" t="s">
        <v>36</v>
      </c>
      <c r="B3" s="2" t="s">
        <v>2</v>
      </c>
    </row>
    <row r="4" spans="1:2" x14ac:dyDescent="0.35">
      <c r="B4" s="2" t="s">
        <v>3</v>
      </c>
    </row>
    <row r="5" spans="1:2" x14ac:dyDescent="0.35">
      <c r="B5" s="2" t="s">
        <v>4</v>
      </c>
    </row>
    <row r="6" spans="1:2" x14ac:dyDescent="0.35">
      <c r="B6" s="2" t="s">
        <v>7</v>
      </c>
    </row>
    <row r="7" spans="1:2" x14ac:dyDescent="0.35">
      <c r="B7" s="2" t="s">
        <v>31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44</vt:i4>
      </vt:variant>
    </vt:vector>
  </HeadingPairs>
  <TitlesOfParts>
    <vt:vector size="44" baseType="lpstr">
      <vt:lpstr>各勝率等</vt:lpstr>
      <vt:lpstr>20250520</vt:lpstr>
      <vt:lpstr>20250521</vt:lpstr>
      <vt:lpstr>20250524</vt:lpstr>
      <vt:lpstr>20250528</vt:lpstr>
      <vt:lpstr>20250531</vt:lpstr>
      <vt:lpstr>20250602</vt:lpstr>
      <vt:lpstr>20250604</vt:lpstr>
      <vt:lpstr>20250607</vt:lpstr>
      <vt:lpstr>20250615</vt:lpstr>
      <vt:lpstr>20250616</vt:lpstr>
      <vt:lpstr>20250619</vt:lpstr>
      <vt:lpstr>20250623</vt:lpstr>
      <vt:lpstr>20250625三麻</vt:lpstr>
      <vt:lpstr>20250625四麻</vt:lpstr>
      <vt:lpstr>20250628</vt:lpstr>
      <vt:lpstr>20250630</vt:lpstr>
      <vt:lpstr>20250630-2</vt:lpstr>
      <vt:lpstr>20250703</vt:lpstr>
      <vt:lpstr>20250707</vt:lpstr>
      <vt:lpstr>20250707四麻</vt:lpstr>
      <vt:lpstr>20250716</vt:lpstr>
      <vt:lpstr>25250719 三麻</vt:lpstr>
      <vt:lpstr>20250724</vt:lpstr>
      <vt:lpstr>20250731</vt:lpstr>
      <vt:lpstr>20250806</vt:lpstr>
      <vt:lpstr>20250902</vt:lpstr>
      <vt:lpstr>20250909</vt:lpstr>
      <vt:lpstr>20250909-2</vt:lpstr>
      <vt:lpstr>20250916</vt:lpstr>
      <vt:lpstr>20250924</vt:lpstr>
      <vt:lpstr>20251010</vt:lpstr>
      <vt:lpstr>20251010 2</vt:lpstr>
      <vt:lpstr>20251014 四麻</vt:lpstr>
      <vt:lpstr>20251014 三麻</vt:lpstr>
      <vt:lpstr>20251021 三麻</vt:lpstr>
      <vt:lpstr>20251021 四麻</vt:lpstr>
      <vt:lpstr>20251031</vt:lpstr>
      <vt:lpstr>20251124</vt:lpstr>
      <vt:lpstr>20251127</vt:lpstr>
      <vt:lpstr>20251213</vt:lpstr>
      <vt:lpstr>20251216</vt:lpstr>
      <vt:lpstr>テンプレートv1</vt:lpstr>
      <vt:lpstr>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奥村大地</dc:creator>
  <cp:lastModifiedBy>奥村 大地</cp:lastModifiedBy>
  <dcterms:created xsi:type="dcterms:W3CDTF">2025-12-19T17:27:33Z</dcterms:created>
  <dcterms:modified xsi:type="dcterms:W3CDTF">2025-12-19T18:36:09Z</dcterms:modified>
</cp:coreProperties>
</file>